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 Balula\Documents\"/>
    </mc:Choice>
  </mc:AlternateContent>
  <xr:revisionPtr revIDLastSave="0" documentId="13_ncr:1_{E56380B9-49CC-4B0D-AAC1-E8526F8C7943}" xr6:coauthVersionLast="47" xr6:coauthVersionMax="47" xr10:uidLastSave="{00000000-0000-0000-0000-000000000000}"/>
  <bookViews>
    <workbookView xWindow="-120" yWindow="-120" windowWidth="20730" windowHeight="11160" xr2:uid="{B380AFDB-4DED-42A0-B4D0-C414780A0286}"/>
  </bookViews>
  <sheets>
    <sheet name="Input" sheetId="3" r:id="rId1"/>
    <sheet name="Consulta1" sheetId="2" r:id="rId2"/>
    <sheet name="TabelaIII" sheetId="4" r:id="rId3"/>
    <sheet name="TabelaIIIbis" sheetId="5" r:id="rId4"/>
    <sheet name="TabelaIV" sheetId="7" r:id="rId5"/>
    <sheet name="Classe do Paiol" sheetId="6" r:id="rId6"/>
    <sheet name="Locais" sheetId="8" r:id="rId7"/>
  </sheets>
  <definedNames>
    <definedName name="_xlnm._FilterDatabase" localSheetId="4" hidden="1">TabelaIV!$A$1:$C$1</definedName>
    <definedName name="DadosExternos_1" localSheetId="1" hidden="1">Consulta1!$A$4:$B$8</definedName>
  </definedName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F12" i="2" s="1"/>
  <c r="F6" i="2"/>
  <c r="F8" i="2" s="1"/>
  <c r="E6" i="2"/>
  <c r="E16" i="2"/>
  <c r="F5" i="2"/>
  <c r="F11" i="2" s="1"/>
  <c r="F7" i="2" l="1"/>
  <c r="F9" i="2" s="1"/>
  <c r="F16" i="2"/>
  <c r="F13" i="2" l="1"/>
  <c r="F15" i="2" l="1"/>
  <c r="F14" i="2" a="1"/>
  <c r="F14" i="2" s="1"/>
  <c r="F1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E77E7-3605-4561-AAE9-EFE8D7B8074F}" keepAlive="1" name="Consulta - Consulta1" description="Ligação à consulta 'Consulta1' no livro." type="5" refreshedVersion="7" background="1" saveData="1">
    <dbPr connection="Provider=Microsoft.Mashup.OleDb.1;Data Source=$Workbook$;Location=Consulta1;Extended Properties=&quot;&quot;" command="SELECT * FROM [Consulta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<sst xmlns="http://schemas.openxmlformats.org/spreadsheetml/2006/main" count="205" uniqueCount="167">
  <si>
    <t>Parâmetro</t>
  </si>
  <si>
    <t>Valor</t>
  </si>
  <si>
    <t>Temperatura (°C)</t>
  </si>
  <si>
    <t>Humidade Relativa (%)</t>
  </si>
  <si>
    <t>Pressão Atmosférica (hPa)</t>
  </si>
  <si>
    <t>Cidade</t>
  </si>
  <si>
    <t>Parâmetros de Saída</t>
  </si>
  <si>
    <t>Temperatura Bolbo molhado/húmido (°C) - Formula de Stull</t>
  </si>
  <si>
    <t>Diferença de Temperatura Bolbo Seco e Molhado (ts-tm)</t>
  </si>
  <si>
    <t>ts °C</t>
  </si>
  <si>
    <t>Peso em gramas (g/m³)</t>
  </si>
  <si>
    <t>Diferença (ts-tm) de 0 a 13</t>
  </si>
  <si>
    <t>Temperatura Bolbo seco arrendondado (°C)</t>
  </si>
  <si>
    <t>Temperatura Bolbo molhado arrendondado (°C)</t>
  </si>
  <si>
    <t>A</t>
  </si>
  <si>
    <t>B</t>
  </si>
  <si>
    <t>P</t>
  </si>
  <si>
    <t>tv</t>
  </si>
  <si>
    <t>tl</t>
  </si>
  <si>
    <t>Mínima para 
uma boa 
ventilação (tv)</t>
  </si>
  <si>
    <t xml:space="preserve">Limite abaixo da qual 
a ventilação é muito 
prejudicial (tl) </t>
  </si>
  <si>
    <t>Temperatura Interior do Paiol (°C)</t>
  </si>
  <si>
    <t>Classe do Paiol</t>
  </si>
  <si>
    <t>Resultado</t>
  </si>
  <si>
    <t>Tabela  usar</t>
  </si>
  <si>
    <t>Temperatura Bolbo seco arrendondado (°F)</t>
  </si>
  <si>
    <t>Temperatura Bolbo molhado arrendondado (°F)</t>
  </si>
  <si>
    <t>ts</t>
  </si>
  <si>
    <t>tm</t>
  </si>
  <si>
    <t>Mangualde</t>
  </si>
  <si>
    <t>-</t>
  </si>
  <si>
    <t>Faro</t>
  </si>
  <si>
    <t>Portimão</t>
  </si>
  <si>
    <t>Ilhas selvagens</t>
  </si>
  <si>
    <t>Montalegre</t>
  </si>
  <si>
    <t>Vinhais</t>
  </si>
  <si>
    <t>Ponte de Lima</t>
  </si>
  <si>
    <t>Cabril</t>
  </si>
  <si>
    <t>Guimarães</t>
  </si>
  <si>
    <t>Cabeceiras de Basto</t>
  </si>
  <si>
    <t>Mirandela</t>
  </si>
  <si>
    <t>Miranda do Douro</t>
  </si>
  <si>
    <t>Mogadouro</t>
  </si>
  <si>
    <t>Paços Ferreira</t>
  </si>
  <si>
    <t>Carrazeda de Ansiães</t>
  </si>
  <si>
    <t>Moncorvo</t>
  </si>
  <si>
    <t>Moimenta da Beira</t>
  </si>
  <si>
    <t>Méda</t>
  </si>
  <si>
    <t>Arouca</t>
  </si>
  <si>
    <t>Guarda</t>
  </si>
  <si>
    <t>Nelas</t>
  </si>
  <si>
    <t>Fundão</t>
  </si>
  <si>
    <t>Anadia</t>
  </si>
  <si>
    <t>Ansião</t>
  </si>
  <si>
    <t>São Pedro de Moel</t>
  </si>
  <si>
    <t>Alcobaça</t>
  </si>
  <si>
    <t>Rio Maior</t>
  </si>
  <si>
    <t>Santarém, Fonte Boa</t>
  </si>
  <si>
    <t>Coruche</t>
  </si>
  <si>
    <t>Cabo da Roca</t>
  </si>
  <si>
    <t>Cabo Raso</t>
  </si>
  <si>
    <t>Setúbal</t>
  </si>
  <si>
    <t>Alvalade</t>
  </si>
  <si>
    <t>Zambujeira</t>
  </si>
  <si>
    <t>Aljezur</t>
  </si>
  <si>
    <t>Zebreira</t>
  </si>
  <si>
    <t>Alvega</t>
  </si>
  <si>
    <t>Mora</t>
  </si>
  <si>
    <t>Elvas</t>
  </si>
  <si>
    <t>Estremoz</t>
  </si>
  <si>
    <t>Montemor-O-Novo</t>
  </si>
  <si>
    <t>Viana do Alentejo</t>
  </si>
  <si>
    <t>Amareleja</t>
  </si>
  <si>
    <t>Albufeira</t>
  </si>
  <si>
    <t>Tavira</t>
  </si>
  <si>
    <t>S. Miguel, Nordeste</t>
  </si>
  <si>
    <t>São Jorge</t>
  </si>
  <si>
    <t>Angra do Heroísmo</t>
  </si>
  <si>
    <t>Funchal</t>
  </si>
  <si>
    <t>Porto Santo</t>
  </si>
  <si>
    <t>Cabo Carvoeiro</t>
  </si>
  <si>
    <t>Sagres</t>
  </si>
  <si>
    <t>Sines</t>
  </si>
  <si>
    <t>Beja</t>
  </si>
  <si>
    <t>Vila Real</t>
  </si>
  <si>
    <t>Penhas Douradas</t>
  </si>
  <si>
    <t>Castelo Branco</t>
  </si>
  <si>
    <t>Portalegre</t>
  </si>
  <si>
    <t>Bragança</t>
  </si>
  <si>
    <t>Viana do Castelo</t>
  </si>
  <si>
    <t>Leiria</t>
  </si>
  <si>
    <t>Amadora</t>
  </si>
  <si>
    <t>Ponta Delgada</t>
  </si>
  <si>
    <t>Santo da Serra</t>
  </si>
  <si>
    <t>Monção</t>
  </si>
  <si>
    <t>Mealhada</t>
  </si>
  <si>
    <t>Mértola</t>
  </si>
  <si>
    <t>Aguiar da Beira</t>
  </si>
  <si>
    <t>Alcácer do Sal</t>
  </si>
  <si>
    <t>Alcochete</t>
  </si>
  <si>
    <t>Alcoutim</t>
  </si>
  <si>
    <t>Aldeia Souto</t>
  </si>
  <si>
    <t>Almada</t>
  </si>
  <si>
    <t>Arcos De Valdevez</t>
  </si>
  <si>
    <t>Arganil</t>
  </si>
  <si>
    <t>Aveiro</t>
  </si>
  <si>
    <t>Avis</t>
  </si>
  <si>
    <t>Barcelos</t>
  </si>
  <si>
    <t>Barreiro</t>
  </si>
  <si>
    <t>Braga</t>
  </si>
  <si>
    <t>Caminha</t>
  </si>
  <si>
    <t>Cantanhede</t>
  </si>
  <si>
    <t>Carregal do Sal</t>
  </si>
  <si>
    <t>Castro Daire</t>
  </si>
  <si>
    <t>Castro Marim</t>
  </si>
  <si>
    <t>Castro Verde</t>
  </si>
  <si>
    <t>Chamusca</t>
  </si>
  <si>
    <t>Chaves</t>
  </si>
  <si>
    <t>Coimbra</t>
  </si>
  <si>
    <t>Covilhã</t>
  </si>
  <si>
    <t>Esposende</t>
  </si>
  <si>
    <t>Évora</t>
  </si>
  <si>
    <t>Figueira de Castelo Rodrigo</t>
  </si>
  <si>
    <t>Faial</t>
  </si>
  <si>
    <t>Figueira da Foz</t>
  </si>
  <si>
    <t>Graciosa</t>
  </si>
  <si>
    <t>Horta</t>
  </si>
  <si>
    <t>Lisboa</t>
  </si>
  <si>
    <t>Loulé</t>
  </si>
  <si>
    <t>Lousã</t>
  </si>
  <si>
    <t>Macedo de Cavaleiros</t>
  </si>
  <si>
    <t>Mortágua</t>
  </si>
  <si>
    <t>Odemira</t>
  </si>
  <si>
    <t>Oeiras</t>
  </si>
  <si>
    <t>Olhão</t>
  </si>
  <si>
    <t>Oliveira de Frades</t>
  </si>
  <si>
    <t>Oliveira do Hospital</t>
  </si>
  <si>
    <t>Ourém</t>
  </si>
  <si>
    <t>Ourique</t>
  </si>
  <si>
    <t>Penacova</t>
  </si>
  <si>
    <t>Penalva do Castelo</t>
  </si>
  <si>
    <t>Penela</t>
  </si>
  <si>
    <t>São Roque do Pico</t>
  </si>
  <si>
    <t>Ponte Da Barca</t>
  </si>
  <si>
    <t>Ponte de Sôr</t>
  </si>
  <si>
    <t>Portel</t>
  </si>
  <si>
    <t>Porto</t>
  </si>
  <si>
    <t>Proença-a-Nova</t>
  </si>
  <si>
    <t>Sabugal</t>
  </si>
  <si>
    <t>Santa Comba Dão</t>
  </si>
  <si>
    <t>São Pedro do Sul</t>
  </si>
  <si>
    <t>Satão</t>
  </si>
  <si>
    <t>Sintra</t>
  </si>
  <si>
    <t>Soure</t>
  </si>
  <si>
    <t>Tomar</t>
  </si>
  <si>
    <t>Tondela</t>
  </si>
  <si>
    <t>Torres Vedras</t>
  </si>
  <si>
    <t>Trancoso</t>
  </si>
  <si>
    <t>Vila Nova de Cerveira</t>
  </si>
  <si>
    <t>Viana Castelo</t>
  </si>
  <si>
    <t>Vila Nova Famalicão</t>
  </si>
  <si>
    <t>Vila Real de Santo António</t>
  </si>
  <si>
    <t>Vila Verde</t>
  </si>
  <si>
    <t>Viseu</t>
  </si>
  <si>
    <t>Vouzela</t>
  </si>
  <si>
    <t>Pampilhosa da Serra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</si>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</sst>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0" fillId="3" borderId="3" xfId="0" applyFill="1" applyBorder="1" applyProtection="1">
      <protection hidden="1"/>
    </xf>
    <xf numFmtId="2" fontId="0" fillId="3" borderId="4" xfId="0" applyNumberFormat="1" applyFill="1" applyBorder="1" applyProtection="1">
      <protection hidden="1"/>
    </xf>
    <xf numFmtId="0" fontId="0" fillId="0" borderId="5" xfId="0" applyBorder="1" applyProtection="1">
      <protection hidden="1"/>
    </xf>
    <xf numFmtId="49" fontId="0" fillId="0" borderId="6" xfId="0" applyNumberFormat="1" applyBorder="1" applyAlignment="1" applyProtection="1">
      <alignment horizontal="center"/>
      <protection hidden="1"/>
    </xf>
    <xf numFmtId="0" fontId="0" fillId="4" borderId="3" xfId="0" applyFill="1" applyBorder="1" applyProtection="1">
      <protection hidden="1"/>
    </xf>
    <xf numFmtId="2" fontId="0" fillId="4" borderId="4" xfId="0" applyNumberFormat="1" applyFill="1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2" fontId="0" fillId="0" borderId="4" xfId="0" applyNumberFormat="1" applyBorder="1" applyProtection="1">
      <protection hidden="1"/>
    </xf>
    <xf numFmtId="2" fontId="0" fillId="0" borderId="6" xfId="0" applyNumberFormat="1" applyBorder="1" applyProtection="1">
      <protection hidden="1"/>
    </xf>
    <xf numFmtId="2" fontId="0" fillId="4" borderId="6" xfId="0" applyNumberFormat="1" applyFill="1" applyBorder="1" applyProtection="1">
      <protection hidden="1"/>
    </xf>
    <xf numFmtId="0" fontId="0" fillId="0" borderId="6" xfId="0" applyBorder="1" applyProtection="1">
      <protection hidden="1"/>
    </xf>
    <xf numFmtId="0" fontId="0" fillId="4" borderId="6" xfId="0" applyFill="1" applyBorder="1" applyProtection="1">
      <protection hidden="1"/>
    </xf>
    <xf numFmtId="0" fontId="0" fillId="3" borderId="7" xfId="0" applyFill="1" applyBorder="1" applyAlignment="1" applyProtection="1">
      <alignment horizontal="left" vertical="center"/>
      <protection hidden="1"/>
    </xf>
    <xf numFmtId="0" fontId="0" fillId="4" borderId="8" xfId="0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0" fillId="0" borderId="0" xfId="0" applyNumberFormat="1" applyProtection="1">
      <protection hidden="1"/>
    </xf>
    <xf numFmtId="0" fontId="4" fillId="0" borderId="9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2" fontId="5" fillId="0" borderId="1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C15CB44B-F23E-49B3-9DEE-FC47BE0FCDB6}"/>
  </cellStyles>
  <dxfs count="5">
    <dxf>
      <protection locked="1" hidden="1"/>
    </dxf>
    <dxf>
      <numFmt numFmtId="0" formatCode="General"/>
      <protection locked="1" hidden="1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1" hidden="1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FE36B74-D4EF-4092-AA97-218B2EAE78C4}" autoFormatId="16" applyNumberFormats="0" applyBorderFormats="0" applyFontFormats="0" applyPatternFormats="0" applyAlignmentFormats="0" applyWidthHeightFormats="0">
  <queryTableRefresh nextId="3">
    <queryTableFields count="2">
      <queryTableField id="1" name="Parâmetro" tableColumnId="1"/>
      <queryTableField id="2" name="Valor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EF766-FAE5-42D0-890D-FB5E57F97B82}" name="Input" displayName="Input" ref="A1:B4" totalsRowShown="0" tableBorderDxfId="4">
  <autoFilter ref="A1:B4" xr:uid="{97DEF766-FAE5-42D0-890D-FB5E57F97B82}"/>
  <tableColumns count="2">
    <tableColumn id="1" xr3:uid="{20D05864-614C-41FE-9B49-4E241199AC64}" name="Parâmetro"/>
    <tableColumn id="2" xr3:uid="{0494B844-CDEB-4CE6-9581-B67C2B9B35FF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023384-0E10-4A6B-96F2-065DC9358E46}" name="Consulta1_2" displayName="Consulta1_2" ref="A4:B8" tableType="queryTable" totalsRowShown="0" dataDxfId="3" tableBorderDxfId="2">
  <autoFilter ref="A4:B8" xr:uid="{DD023384-0E10-4A6B-96F2-065DC9358E46}"/>
  <tableColumns count="2">
    <tableColumn id="1" xr3:uid="{A7C40E0D-8422-4081-B97E-9972D7F72B0D}" uniqueName="1" name="Parâmetro" queryTableFieldId="1" dataDxfId="1"/>
    <tableColumn id="2" xr3:uid="{EAAFFBDF-1391-4012-B4C1-E69B011991A6}" uniqueName="2" name="Valor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4449-287E-4E03-A3C8-A691309FD97F}">
  <dimension ref="A1:B4"/>
  <sheetViews>
    <sheetView tabSelected="1" workbookViewId="0">
      <selection activeCell="D11" sqref="D11"/>
    </sheetView>
  </sheetViews>
  <sheetFormatPr defaultRowHeight="15" x14ac:dyDescent="0.25"/>
  <cols>
    <col min="1" max="1" width="31.5703125" bestFit="1" customWidth="1"/>
    <col min="2" max="2" width="3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77</v>
      </c>
    </row>
    <row r="3" spans="1:2" x14ac:dyDescent="0.25">
      <c r="A3" t="s">
        <v>21</v>
      </c>
      <c r="B3" s="8">
        <v>13</v>
      </c>
    </row>
    <row r="4" spans="1:2" x14ac:dyDescent="0.25">
      <c r="A4" t="s">
        <v>22</v>
      </c>
      <c r="B4" s="7" t="s">
        <v>15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F19D49-2E99-4676-9EE3-4B9D598EA103}">
          <x14:formula1>
            <xm:f>'Classe do Paiol'!$A$1:$A$2</xm:f>
          </x14:formula1>
          <xm:sqref>B4</xm:sqref>
        </x14:dataValidation>
        <x14:dataValidation type="list" allowBlank="1" showInputMessage="1" showErrorMessage="1" xr:uid="{199525DA-BF3A-4425-86C4-5F922B0AE375}">
          <x14:formula1>
            <xm:f>Locais!$A$1:$A$173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DD1B-A6CA-4ABA-8389-1FF205F189FC}">
  <dimension ref="A3:G17"/>
  <sheetViews>
    <sheetView topLeftCell="A4" workbookViewId="0">
      <selection activeCell="B17" sqref="B17"/>
    </sheetView>
  </sheetViews>
  <sheetFormatPr defaultRowHeight="15" x14ac:dyDescent="0.25"/>
  <cols>
    <col min="1" max="1" width="24.5703125" bestFit="1" customWidth="1"/>
    <col min="2" max="2" width="18" bestFit="1" customWidth="1"/>
    <col min="5" max="5" width="55.28515625" bestFit="1" customWidth="1"/>
    <col min="6" max="6" width="31.7109375" bestFit="1" customWidth="1"/>
  </cols>
  <sheetData>
    <row r="3" spans="1:7" ht="15.75" thickBot="1" x14ac:dyDescent="0.3"/>
    <row r="4" spans="1:7" x14ac:dyDescent="0.25">
      <c r="A4" t="s">
        <v>0</v>
      </c>
      <c r="B4" t="s">
        <v>1</v>
      </c>
      <c r="E4" s="9" t="s">
        <v>6</v>
      </c>
      <c r="F4" s="10" t="s">
        <v>1</v>
      </c>
    </row>
    <row r="5" spans="1:7" x14ac:dyDescent="0.25">
      <c r="A5" s="26" t="s">
        <v>2</v>
      </c>
      <c r="B5" s="27">
        <v>17.600000000000001</v>
      </c>
      <c r="E5" s="11" t="s">
        <v>7</v>
      </c>
      <c r="F5" s="12">
        <f>B5 * ATAN(0.151977 * (B6 + 8.313659)^0.5) + ATAN(B5 + B6) - ATAN(B6 - 1.676331) + 0.00391838 * B6^(3/2) * ATAN(0.023101 * B6) - 4.686035</f>
        <v>14.753330653568991</v>
      </c>
    </row>
    <row r="6" spans="1:7" x14ac:dyDescent="0.25">
      <c r="A6" s="26" t="s">
        <v>3</v>
      </c>
      <c r="B6" s="26">
        <v>76</v>
      </c>
      <c r="E6" s="13" t="str">
        <f>Input!A4</f>
        <v>Classe do Paiol</v>
      </c>
      <c r="F6" s="14" t="str">
        <f>Input!B4</f>
        <v>B</v>
      </c>
    </row>
    <row r="7" spans="1:7" x14ac:dyDescent="0.25">
      <c r="A7" s="26" t="s">
        <v>4</v>
      </c>
      <c r="B7" s="26">
        <v>1026.7</v>
      </c>
      <c r="E7" s="15" t="s">
        <v>8</v>
      </c>
      <c r="F7" s="16">
        <f>F10-F11</f>
        <v>3</v>
      </c>
    </row>
    <row r="8" spans="1:7" x14ac:dyDescent="0.25">
      <c r="A8" s="26" t="s">
        <v>5</v>
      </c>
      <c r="B8" s="26" t="s">
        <v>77</v>
      </c>
      <c r="E8" s="13" t="s">
        <v>24</v>
      </c>
      <c r="F8" s="17" t="str">
        <f>IF(OR(F6="", ISERROR(F6)), "Especifique a classe (A ou B)", IF(F6="A", "Consulte Tabela III e III bis", IF(F6="B", "Consulte Tabela IV", "Classe inválida")))</f>
        <v>Consulte Tabela IV</v>
      </c>
    </row>
    <row r="9" spans="1:7" x14ac:dyDescent="0.25">
      <c r="E9" s="11" t="s">
        <v>10</v>
      </c>
      <c r="F9" s="12">
        <f>INDEX(TabelaIII!B$3:O$44, MATCH(ROUND($F$10, 0), TabelaIII!A$3:A$44, 0), MATCH(ROUND($F$7, 0), TabelaIII!B$2:O$2, 0))</f>
        <v>12.6</v>
      </c>
    </row>
    <row r="10" spans="1:7" x14ac:dyDescent="0.25">
      <c r="E10" s="18" t="s">
        <v>12</v>
      </c>
      <c r="F10" s="19">
        <f>ROUND(B5, 0)</f>
        <v>18</v>
      </c>
    </row>
    <row r="11" spans="1:7" x14ac:dyDescent="0.25">
      <c r="E11" s="11" t="s">
        <v>13</v>
      </c>
      <c r="F11" s="12">
        <f>ROUND(F5, 0)</f>
        <v>15</v>
      </c>
    </row>
    <row r="12" spans="1:7" x14ac:dyDescent="0.25">
      <c r="E12" s="18" t="s">
        <v>25</v>
      </c>
      <c r="F12" s="20">
        <f>ROUND(((F10/100)*180)+32,0)</f>
        <v>64</v>
      </c>
      <c r="G12" s="6"/>
    </row>
    <row r="13" spans="1:7" x14ac:dyDescent="0.25">
      <c r="E13" s="11" t="s">
        <v>26</v>
      </c>
      <c r="F13" s="21">
        <f>ROUND(((F11/100)*180)+32,0)</f>
        <v>59</v>
      </c>
    </row>
    <row r="14" spans="1:7" x14ac:dyDescent="0.25">
      <c r="E14" s="18" t="s">
        <v>19</v>
      </c>
      <c r="F14" s="22" cm="1">
        <f t="array" ref="F14">IF($F$6="A",IFERROR(VLOOKUP($F$9,TabelaIIIbis!A:C,2,TRUE),"Fora da tabela"),IF($F$6="B",IFERROR(INDEX(TabelaIV!$A$2:$C$861,MATCH(1,(TabelaIV!$A$2:$A$861=$F$12)*(TabelaIV!$B$2:$B$861=$F$13),0),3),"Fora da tabela"),"Classe inválida"))</f>
        <v>56</v>
      </c>
    </row>
    <row r="15" spans="1:7" x14ac:dyDescent="0.25">
      <c r="E15" s="11" t="s">
        <v>20</v>
      </c>
      <c r="F15" s="23" t="str">
        <f>IF($F$6="A", IFERROR(VLOOKUP($F$9, TabelaIIIbis!A:C, 3, TRUE), "Fora da tabela"), "Paiol Classe B - não é necessário tl")</f>
        <v>Paiol Classe B - não é necessário tl</v>
      </c>
    </row>
    <row r="16" spans="1:7" x14ac:dyDescent="0.25">
      <c r="E16" s="13" t="str">
        <f>Input!A3</f>
        <v>Temperatura Interior do Paiol (°C)</v>
      </c>
      <c r="F16" s="20">
        <f>IF($F$6="A", Input!B3, (Input!B3 /100)*180 + 32)</f>
        <v>55.400000000000006</v>
      </c>
    </row>
    <row r="17" spans="5:6" ht="105" customHeight="1" thickBot="1" x14ac:dyDescent="0.3">
      <c r="E17" s="24" t="s">
        <v>23</v>
      </c>
      <c r="F17" s="25" t="str">
        <f>IF($F$6="A", IF(F16&gt;=F14, "ti ≥ tv – O paiol deve ser ventilado durante todo o tempo em que as condições atmosféricas o permitam.", IF(AND(F14&gt;F16, F16&gt;=F15), "tv &gt; ti ≥ tl – O paiol deve ser ventilado rapidamente, apenas durante o tempo estritamente necessário para lançar uma corrente de ar que renove o ar interior.", "tl &gt; ti – O paiol deve manter-se fechado.")), IF($F$6="B", IF(F16&gt;F14, "ti &gt; tv – ventilar", "ti &lt; tv - manter fechado"), "Classe inválida"))</f>
        <v>ti &lt; tv - manter fechado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4EE7-57BB-4AC7-90F9-00C76E48091E}">
  <dimension ref="A1:O45"/>
  <sheetViews>
    <sheetView topLeftCell="A13" workbookViewId="0">
      <selection activeCell="G24" sqref="G24"/>
    </sheetView>
  </sheetViews>
  <sheetFormatPr defaultRowHeight="15" x14ac:dyDescent="0.25"/>
  <sheetData>
    <row r="1" spans="1:15" x14ac:dyDescent="0.25">
      <c r="A1" s="38" t="s">
        <v>11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5.75" thickBot="1" x14ac:dyDescent="0.3">
      <c r="A2" s="2" t="s">
        <v>9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</row>
    <row r="3" spans="1:15" x14ac:dyDescent="0.25">
      <c r="A3" s="28">
        <v>50</v>
      </c>
      <c r="B3" s="29">
        <v>83.6</v>
      </c>
      <c r="C3" s="29">
        <v>79.5</v>
      </c>
      <c r="D3" s="29">
        <v>75.599999999999994</v>
      </c>
      <c r="E3" s="29">
        <v>71.8</v>
      </c>
      <c r="F3" s="29">
        <v>68.3</v>
      </c>
      <c r="G3" s="29">
        <v>64.900000000000006</v>
      </c>
      <c r="H3" s="29">
        <v>61.6</v>
      </c>
      <c r="I3" s="29">
        <v>58.4</v>
      </c>
      <c r="J3" s="29">
        <v>55.4</v>
      </c>
      <c r="K3" s="29">
        <v>52.6</v>
      </c>
      <c r="L3" s="29">
        <v>49.9</v>
      </c>
      <c r="M3" s="29">
        <v>47.2</v>
      </c>
      <c r="N3" s="29">
        <v>44.7</v>
      </c>
      <c r="O3" s="29">
        <v>42.4</v>
      </c>
    </row>
    <row r="4" spans="1:15" x14ac:dyDescent="0.25">
      <c r="A4" s="30">
        <v>45</v>
      </c>
      <c r="B4" s="31">
        <v>65.2</v>
      </c>
      <c r="C4" s="31">
        <v>61.8</v>
      </c>
      <c r="D4" s="31">
        <v>58.6</v>
      </c>
      <c r="E4" s="31">
        <v>55.6</v>
      </c>
      <c r="F4" s="31">
        <v>52.7</v>
      </c>
      <c r="G4" s="31">
        <v>50.1</v>
      </c>
      <c r="H4" s="31">
        <v>47.4</v>
      </c>
      <c r="I4" s="31">
        <v>44.9</v>
      </c>
      <c r="J4" s="31">
        <v>42.6</v>
      </c>
      <c r="K4" s="31">
        <v>40.200000000000003</v>
      </c>
      <c r="L4" s="31">
        <v>38.1</v>
      </c>
      <c r="M4" s="31">
        <v>36</v>
      </c>
      <c r="N4" s="31">
        <v>34.1</v>
      </c>
      <c r="O4" s="31">
        <v>32</v>
      </c>
    </row>
    <row r="5" spans="1:15" x14ac:dyDescent="0.25">
      <c r="A5" s="30">
        <v>40</v>
      </c>
      <c r="B5" s="31">
        <v>51.9</v>
      </c>
      <c r="C5" s="31">
        <v>48.2</v>
      </c>
      <c r="D5" s="31">
        <v>45.6</v>
      </c>
      <c r="E5" s="31">
        <v>43.3</v>
      </c>
      <c r="F5" s="31">
        <v>40.9</v>
      </c>
      <c r="G5" s="31">
        <v>38.799999999999997</v>
      </c>
      <c r="H5" s="31">
        <v>36.6</v>
      </c>
      <c r="I5" s="31">
        <v>34.700000000000003</v>
      </c>
      <c r="J5" s="31">
        <v>32.700000000000003</v>
      </c>
      <c r="K5" s="31">
        <v>30.9</v>
      </c>
      <c r="L5" s="31">
        <v>29.1</v>
      </c>
      <c r="M5" s="31">
        <v>27.6</v>
      </c>
      <c r="N5" s="31">
        <v>26</v>
      </c>
      <c r="O5" s="31">
        <v>24.6</v>
      </c>
    </row>
    <row r="6" spans="1:15" x14ac:dyDescent="0.25">
      <c r="A6" s="30">
        <v>39</v>
      </c>
      <c r="B6" s="31">
        <v>48.9</v>
      </c>
      <c r="C6" s="31">
        <v>45.8</v>
      </c>
      <c r="D6" s="31">
        <v>43.3</v>
      </c>
      <c r="E6" s="31">
        <v>41.3</v>
      </c>
      <c r="F6" s="31">
        <v>38.5</v>
      </c>
      <c r="G6" s="31">
        <v>36.9</v>
      </c>
      <c r="H6" s="31">
        <v>34.700000000000003</v>
      </c>
      <c r="I6" s="31">
        <v>33.299999999999997</v>
      </c>
      <c r="J6" s="31">
        <v>30.6</v>
      </c>
      <c r="K6" s="31">
        <v>29.3</v>
      </c>
      <c r="L6" s="31">
        <v>27.7</v>
      </c>
      <c r="M6" s="31">
        <v>26.1</v>
      </c>
      <c r="N6" s="31">
        <v>24.6</v>
      </c>
      <c r="O6" s="31">
        <v>23.3</v>
      </c>
    </row>
    <row r="7" spans="1:15" x14ac:dyDescent="0.25">
      <c r="A7" s="30">
        <v>38</v>
      </c>
      <c r="B7" s="31">
        <v>45.9</v>
      </c>
      <c r="C7" s="31">
        <v>43.5</v>
      </c>
      <c r="D7" s="31">
        <v>41.1</v>
      </c>
      <c r="E7" s="31">
        <v>39.1</v>
      </c>
      <c r="F7" s="31">
        <v>36</v>
      </c>
      <c r="G7" s="31">
        <v>34.9</v>
      </c>
      <c r="H7" s="31">
        <v>32.9</v>
      </c>
      <c r="I7" s="31">
        <v>31.9</v>
      </c>
      <c r="J7" s="31">
        <v>29.4</v>
      </c>
      <c r="K7" s="31">
        <v>27.8</v>
      </c>
      <c r="L7" s="31">
        <v>26.2</v>
      </c>
      <c r="M7" s="31">
        <v>24.7</v>
      </c>
      <c r="N7" s="31">
        <v>23.3</v>
      </c>
      <c r="O7" s="31">
        <v>21.9</v>
      </c>
    </row>
    <row r="8" spans="1:15" x14ac:dyDescent="0.25">
      <c r="A8" s="30">
        <v>37</v>
      </c>
      <c r="B8" s="31">
        <v>43.7</v>
      </c>
      <c r="C8" s="31">
        <v>41.3</v>
      </c>
      <c r="D8" s="31">
        <v>38.299999999999997</v>
      </c>
      <c r="E8" s="31">
        <v>37.700000000000003</v>
      </c>
      <c r="F8" s="31">
        <v>35</v>
      </c>
      <c r="G8" s="31">
        <v>33.1</v>
      </c>
      <c r="H8" s="31">
        <v>32</v>
      </c>
      <c r="I8" s="31">
        <v>29.5</v>
      </c>
      <c r="J8" s="31">
        <v>27.9</v>
      </c>
      <c r="K8" s="31">
        <v>26.4</v>
      </c>
      <c r="L8" s="31">
        <v>24.8</v>
      </c>
      <c r="M8" s="31">
        <v>23.4</v>
      </c>
      <c r="N8" s="31">
        <v>22</v>
      </c>
      <c r="O8" s="31">
        <v>20.7</v>
      </c>
    </row>
    <row r="9" spans="1:15" x14ac:dyDescent="0.25">
      <c r="A9" s="30">
        <v>36</v>
      </c>
      <c r="B9" s="31">
        <v>41.4</v>
      </c>
      <c r="C9" s="31">
        <v>39.4</v>
      </c>
      <c r="D9" s="31">
        <v>37.1</v>
      </c>
      <c r="E9" s="31">
        <v>35.5</v>
      </c>
      <c r="F9" s="31">
        <v>33.1</v>
      </c>
      <c r="G9" s="31">
        <v>31.4</v>
      </c>
      <c r="H9" s="31">
        <v>29.6</v>
      </c>
      <c r="I9" s="31">
        <v>28</v>
      </c>
      <c r="J9" s="31">
        <v>26.4</v>
      </c>
      <c r="K9" s="31">
        <v>24.9</v>
      </c>
      <c r="L9" s="31">
        <v>23.5</v>
      </c>
      <c r="M9" s="31">
        <v>22.6</v>
      </c>
      <c r="N9" s="31">
        <v>20.8</v>
      </c>
      <c r="O9" s="31">
        <v>19.600000000000001</v>
      </c>
    </row>
    <row r="10" spans="1:15" x14ac:dyDescent="0.25">
      <c r="A10" s="30">
        <v>35</v>
      </c>
      <c r="B10" s="31">
        <v>39.5</v>
      </c>
      <c r="C10" s="31">
        <v>37.200000000000003</v>
      </c>
      <c r="D10" s="31">
        <v>35.200000000000003</v>
      </c>
      <c r="E10" s="31">
        <v>33.299999999999997</v>
      </c>
      <c r="F10" s="31">
        <v>32.200000000000003</v>
      </c>
      <c r="G10" s="31">
        <v>29.7</v>
      </c>
      <c r="H10" s="31">
        <v>28.1</v>
      </c>
      <c r="I10" s="31">
        <v>26.5</v>
      </c>
      <c r="J10" s="31">
        <v>25</v>
      </c>
      <c r="K10" s="31">
        <v>23.6</v>
      </c>
      <c r="L10" s="31">
        <v>22.2</v>
      </c>
      <c r="M10" s="31">
        <v>20.9</v>
      </c>
      <c r="N10" s="31">
        <v>19.600000000000001</v>
      </c>
      <c r="O10" s="31">
        <v>18.5</v>
      </c>
    </row>
    <row r="11" spans="1:15" x14ac:dyDescent="0.25">
      <c r="A11" s="30">
        <v>24</v>
      </c>
      <c r="B11" s="31">
        <v>37.299999999999997</v>
      </c>
      <c r="C11" s="31">
        <v>35.299999999999997</v>
      </c>
      <c r="D11" s="31">
        <v>33.299999999999997</v>
      </c>
      <c r="E11" s="31">
        <v>31.5</v>
      </c>
      <c r="F11" s="31">
        <v>29.7</v>
      </c>
      <c r="G11" s="31">
        <v>28.1</v>
      </c>
      <c r="H11" s="31">
        <v>26.5</v>
      </c>
      <c r="I11" s="31">
        <v>25</v>
      </c>
      <c r="J11" s="31">
        <v>23.6</v>
      </c>
      <c r="K11" s="31">
        <v>22.2</v>
      </c>
      <c r="L11" s="31">
        <v>20.9</v>
      </c>
      <c r="M11" s="31">
        <v>19.3</v>
      </c>
      <c r="N11" s="31">
        <v>18.600000000000001</v>
      </c>
      <c r="O11" s="31">
        <v>17.5</v>
      </c>
    </row>
    <row r="12" spans="1:15" x14ac:dyDescent="0.25">
      <c r="A12" s="30">
        <v>33</v>
      </c>
      <c r="B12" s="31">
        <v>35.4</v>
      </c>
      <c r="C12" s="31">
        <v>33.4</v>
      </c>
      <c r="D12" s="31">
        <v>32.4</v>
      </c>
      <c r="E12" s="31">
        <v>29.9</v>
      </c>
      <c r="F12" s="31">
        <v>28.3</v>
      </c>
      <c r="G12" s="31">
        <v>26.6</v>
      </c>
      <c r="H12" s="31">
        <v>25.7</v>
      </c>
      <c r="I12" s="31">
        <v>23.7</v>
      </c>
      <c r="J12" s="31">
        <v>22.4</v>
      </c>
      <c r="K12" s="31">
        <v>21</v>
      </c>
      <c r="L12" s="31">
        <v>19.8</v>
      </c>
      <c r="M12" s="31">
        <v>18.600000000000001</v>
      </c>
      <c r="N12" s="31">
        <v>17.5</v>
      </c>
      <c r="O12" s="31">
        <v>16.5</v>
      </c>
    </row>
    <row r="13" spans="1:15" x14ac:dyDescent="0.25">
      <c r="A13" s="30">
        <v>32</v>
      </c>
      <c r="B13" s="31">
        <v>33.6</v>
      </c>
      <c r="C13" s="31">
        <v>32.4</v>
      </c>
      <c r="D13" s="31">
        <v>29.9</v>
      </c>
      <c r="E13" s="31">
        <v>28.3</v>
      </c>
      <c r="F13" s="31">
        <v>26.7</v>
      </c>
      <c r="G13" s="31">
        <v>25.2</v>
      </c>
      <c r="H13" s="31">
        <v>23.7</v>
      </c>
      <c r="I13" s="31">
        <v>22.4</v>
      </c>
      <c r="J13" s="31">
        <v>21.1</v>
      </c>
      <c r="K13" s="31">
        <v>19.899999999999999</v>
      </c>
      <c r="L13" s="31">
        <v>18.7</v>
      </c>
      <c r="M13" s="31">
        <v>17.600000000000001</v>
      </c>
      <c r="N13" s="31">
        <v>16.5</v>
      </c>
      <c r="O13" s="31">
        <v>15.5</v>
      </c>
    </row>
    <row r="14" spans="1:15" x14ac:dyDescent="0.25">
      <c r="A14" s="30">
        <v>31</v>
      </c>
      <c r="B14" s="31">
        <v>32.6</v>
      </c>
      <c r="C14" s="31">
        <v>30.1</v>
      </c>
      <c r="D14" s="31">
        <v>28.5</v>
      </c>
      <c r="E14" s="31">
        <v>26.8</v>
      </c>
      <c r="F14" s="31">
        <v>25.3</v>
      </c>
      <c r="G14" s="31">
        <v>23.8</v>
      </c>
      <c r="H14" s="31">
        <v>22.4</v>
      </c>
      <c r="I14" s="31">
        <v>21.1</v>
      </c>
      <c r="J14" s="31">
        <v>20</v>
      </c>
      <c r="K14" s="31">
        <v>18.7</v>
      </c>
      <c r="L14" s="31">
        <v>17.7</v>
      </c>
      <c r="M14" s="31">
        <v>16.600000000000001</v>
      </c>
      <c r="N14" s="31">
        <v>15.6</v>
      </c>
      <c r="O14" s="31">
        <v>14.6</v>
      </c>
    </row>
    <row r="15" spans="1:15" x14ac:dyDescent="0.25">
      <c r="A15" s="30">
        <v>30</v>
      </c>
      <c r="B15" s="31">
        <v>30.2</v>
      </c>
      <c r="C15" s="31">
        <v>28.5</v>
      </c>
      <c r="D15" s="31">
        <v>26.9</v>
      </c>
      <c r="E15" s="31">
        <v>25.3</v>
      </c>
      <c r="F15" s="31">
        <v>23.9</v>
      </c>
      <c r="G15" s="31">
        <v>22.5</v>
      </c>
      <c r="H15" s="31">
        <v>21.7</v>
      </c>
      <c r="I15" s="31">
        <v>20</v>
      </c>
      <c r="J15" s="31">
        <v>18.8</v>
      </c>
      <c r="K15" s="31">
        <v>17.7</v>
      </c>
      <c r="L15" s="31">
        <v>16.600000000000001</v>
      </c>
      <c r="M15" s="31">
        <v>15.6</v>
      </c>
      <c r="N15" s="31">
        <v>14.7</v>
      </c>
      <c r="O15" s="31">
        <v>13.8</v>
      </c>
    </row>
    <row r="16" spans="1:15" x14ac:dyDescent="0.25">
      <c r="A16" s="30">
        <v>29</v>
      </c>
      <c r="B16" s="31">
        <v>28.6</v>
      </c>
      <c r="C16" s="31">
        <v>27</v>
      </c>
      <c r="D16" s="31">
        <v>25.5</v>
      </c>
      <c r="E16" s="31">
        <v>24</v>
      </c>
      <c r="F16" s="31">
        <v>22.6</v>
      </c>
      <c r="G16" s="31">
        <v>21.3</v>
      </c>
      <c r="H16" s="31">
        <v>20</v>
      </c>
      <c r="I16" s="31">
        <v>18.899999999999999</v>
      </c>
      <c r="J16" s="31">
        <v>17.7</v>
      </c>
      <c r="K16" s="31">
        <v>16.7</v>
      </c>
      <c r="L16" s="31">
        <v>15.7</v>
      </c>
      <c r="M16" s="31">
        <v>14.7</v>
      </c>
      <c r="N16" s="31">
        <v>13.8</v>
      </c>
      <c r="O16" s="31">
        <v>13</v>
      </c>
    </row>
    <row r="17" spans="1:15" x14ac:dyDescent="0.25">
      <c r="A17" s="30">
        <v>28</v>
      </c>
      <c r="B17" s="31">
        <v>27.1</v>
      </c>
      <c r="C17" s="31">
        <v>25.5</v>
      </c>
      <c r="D17" s="31">
        <v>24.1</v>
      </c>
      <c r="E17" s="31">
        <v>22.7</v>
      </c>
      <c r="F17" s="31">
        <v>21.4</v>
      </c>
      <c r="G17" s="31">
        <v>20.100000000000001</v>
      </c>
      <c r="H17" s="31">
        <v>18.899999999999999</v>
      </c>
      <c r="I17" s="31">
        <v>17.2</v>
      </c>
      <c r="J17" s="31">
        <v>16.7</v>
      </c>
      <c r="K17" s="31">
        <v>15.8</v>
      </c>
      <c r="L17" s="31">
        <v>14.8</v>
      </c>
      <c r="M17" s="31">
        <v>13.9</v>
      </c>
      <c r="N17" s="31">
        <v>13.1</v>
      </c>
      <c r="O17" s="31">
        <v>12.2</v>
      </c>
    </row>
    <row r="18" spans="1:15" x14ac:dyDescent="0.25">
      <c r="A18" s="30">
        <v>27</v>
      </c>
      <c r="B18" s="31">
        <v>25.7</v>
      </c>
      <c r="C18" s="31">
        <v>24.2</v>
      </c>
      <c r="D18" s="31">
        <v>22.8</v>
      </c>
      <c r="E18" s="31">
        <v>21.4</v>
      </c>
      <c r="F18" s="31">
        <v>20.3</v>
      </c>
      <c r="G18" s="31">
        <v>19.100000000000001</v>
      </c>
      <c r="H18" s="31">
        <v>17.899999999999999</v>
      </c>
      <c r="I18" s="31">
        <v>16.8</v>
      </c>
      <c r="J18" s="31">
        <v>15.9</v>
      </c>
      <c r="K18" s="31">
        <v>14.8</v>
      </c>
      <c r="L18" s="31">
        <v>14</v>
      </c>
      <c r="M18" s="31">
        <v>13.1</v>
      </c>
      <c r="N18" s="31">
        <v>12.3</v>
      </c>
      <c r="O18" s="31">
        <v>11.5</v>
      </c>
    </row>
    <row r="19" spans="1:15" x14ac:dyDescent="0.25">
      <c r="A19" s="30">
        <v>26</v>
      </c>
      <c r="B19" s="31">
        <v>24.2</v>
      </c>
      <c r="C19" s="31">
        <v>22.8</v>
      </c>
      <c r="D19" s="31">
        <v>21.5</v>
      </c>
      <c r="E19" s="31">
        <v>20.2</v>
      </c>
      <c r="F19" s="31">
        <v>19.100000000000001</v>
      </c>
      <c r="G19" s="31">
        <v>18</v>
      </c>
      <c r="H19" s="31">
        <v>16.899999999999999</v>
      </c>
      <c r="I19" s="31">
        <v>15.8</v>
      </c>
      <c r="J19" s="31">
        <v>14.9</v>
      </c>
      <c r="K19" s="31">
        <v>14</v>
      </c>
      <c r="L19" s="31">
        <v>13.1</v>
      </c>
      <c r="M19" s="31">
        <v>12.3</v>
      </c>
      <c r="N19" s="31">
        <v>11.5</v>
      </c>
      <c r="O19" s="31">
        <v>10.8</v>
      </c>
    </row>
    <row r="20" spans="1:15" x14ac:dyDescent="0.25">
      <c r="A20" s="30">
        <v>25</v>
      </c>
      <c r="B20" s="31">
        <v>23</v>
      </c>
      <c r="C20" s="31">
        <v>21.5</v>
      </c>
      <c r="D20" s="31">
        <v>20.3</v>
      </c>
      <c r="E20" s="31">
        <v>19.100000000000001</v>
      </c>
      <c r="F20" s="31">
        <v>18</v>
      </c>
      <c r="G20" s="31">
        <v>16.899999999999999</v>
      </c>
      <c r="H20" s="31">
        <v>15.9</v>
      </c>
      <c r="I20" s="31">
        <v>14.9</v>
      </c>
      <c r="J20" s="31">
        <v>14.1</v>
      </c>
      <c r="K20" s="31">
        <v>13.1</v>
      </c>
      <c r="L20" s="31">
        <v>12.4</v>
      </c>
      <c r="M20" s="31">
        <v>11.6</v>
      </c>
      <c r="N20" s="31">
        <v>10.8</v>
      </c>
      <c r="O20" s="31">
        <v>10.199999999999999</v>
      </c>
    </row>
    <row r="21" spans="1:15" x14ac:dyDescent="0.25">
      <c r="A21" s="30">
        <v>24</v>
      </c>
      <c r="B21" s="31">
        <v>21.7</v>
      </c>
      <c r="C21" s="31">
        <v>20.399999999999999</v>
      </c>
      <c r="D21" s="31">
        <v>19.2</v>
      </c>
      <c r="E21" s="31">
        <v>18.100000000000001</v>
      </c>
      <c r="F21" s="31">
        <v>17</v>
      </c>
      <c r="G21" s="31">
        <v>16</v>
      </c>
      <c r="H21" s="31">
        <v>15.7</v>
      </c>
      <c r="I21" s="31">
        <v>14</v>
      </c>
      <c r="J21" s="31">
        <v>13.2</v>
      </c>
      <c r="K21" s="31">
        <v>12.4</v>
      </c>
      <c r="L21" s="31">
        <v>11.6</v>
      </c>
      <c r="M21" s="31">
        <v>10.8</v>
      </c>
      <c r="N21" s="31">
        <v>10.1</v>
      </c>
      <c r="O21" s="31">
        <v>9.5</v>
      </c>
    </row>
    <row r="22" spans="1:15" x14ac:dyDescent="0.25">
      <c r="A22" s="30">
        <v>23</v>
      </c>
      <c r="B22" s="31">
        <v>20.5</v>
      </c>
      <c r="C22" s="31">
        <v>19.3</v>
      </c>
      <c r="D22" s="31">
        <v>18.100000000000001</v>
      </c>
      <c r="E22" s="31">
        <v>17</v>
      </c>
      <c r="F22" s="31">
        <v>16</v>
      </c>
      <c r="G22" s="31">
        <v>15</v>
      </c>
      <c r="H22" s="31">
        <v>14.1</v>
      </c>
      <c r="I22" s="31">
        <v>13.2</v>
      </c>
      <c r="J22" s="31">
        <v>12.4</v>
      </c>
      <c r="K22" s="31">
        <v>11.6</v>
      </c>
      <c r="L22" s="31">
        <v>10.9</v>
      </c>
      <c r="M22" s="31">
        <v>10.199999999999999</v>
      </c>
      <c r="N22" s="31">
        <v>9.6</v>
      </c>
      <c r="O22" s="31">
        <v>8.9</v>
      </c>
    </row>
    <row r="23" spans="1:15" x14ac:dyDescent="0.25">
      <c r="A23" s="30">
        <v>22</v>
      </c>
      <c r="B23" s="31">
        <v>19.399999999999999</v>
      </c>
      <c r="C23" s="31">
        <v>18.2</v>
      </c>
      <c r="D23" s="31">
        <v>16.7</v>
      </c>
      <c r="E23" s="31">
        <v>16</v>
      </c>
      <c r="F23" s="31">
        <v>15.1</v>
      </c>
      <c r="G23" s="31">
        <v>14.2</v>
      </c>
      <c r="H23" s="31">
        <v>13.3</v>
      </c>
      <c r="I23" s="31">
        <v>12.5</v>
      </c>
      <c r="J23" s="31">
        <v>11.7</v>
      </c>
      <c r="K23" s="31">
        <v>10.9</v>
      </c>
      <c r="L23" s="31">
        <v>10.199999999999999</v>
      </c>
      <c r="M23" s="31">
        <v>9.6</v>
      </c>
      <c r="N23" s="31">
        <v>9</v>
      </c>
      <c r="O23" s="31">
        <v>8.4</v>
      </c>
    </row>
    <row r="24" spans="1:15" x14ac:dyDescent="0.25">
      <c r="A24" s="30">
        <v>21</v>
      </c>
      <c r="B24" s="31">
        <v>18.3</v>
      </c>
      <c r="C24" s="31">
        <v>17.2</v>
      </c>
      <c r="D24" s="31">
        <v>16.100000000000001</v>
      </c>
      <c r="E24" s="31">
        <v>15.2</v>
      </c>
      <c r="F24" s="31">
        <v>14.3</v>
      </c>
      <c r="G24" s="31">
        <v>13.3</v>
      </c>
      <c r="H24" s="31">
        <v>12.5</v>
      </c>
      <c r="I24" s="31">
        <v>11.7</v>
      </c>
      <c r="J24" s="31">
        <v>10.9</v>
      </c>
      <c r="K24" s="31">
        <v>10.199999999999999</v>
      </c>
      <c r="L24" s="31">
        <v>9.6</v>
      </c>
      <c r="M24" s="31">
        <v>9</v>
      </c>
      <c r="N24" s="31">
        <v>8.4</v>
      </c>
      <c r="O24" s="31">
        <v>7.9</v>
      </c>
    </row>
    <row r="25" spans="1:15" x14ac:dyDescent="0.25">
      <c r="A25" s="30">
        <v>20</v>
      </c>
      <c r="B25" s="31">
        <v>17.100000000000001</v>
      </c>
      <c r="C25" s="31">
        <v>16.2</v>
      </c>
      <c r="D25" s="31">
        <v>15.2</v>
      </c>
      <c r="E25" s="31">
        <v>14.2</v>
      </c>
      <c r="F25" s="31">
        <v>13.4</v>
      </c>
      <c r="G25" s="31">
        <v>12.5</v>
      </c>
      <c r="H25" s="31">
        <v>11.9</v>
      </c>
      <c r="I25" s="31">
        <v>11</v>
      </c>
      <c r="J25" s="31">
        <v>10.3</v>
      </c>
      <c r="K25" s="31">
        <v>9.6999999999999993</v>
      </c>
      <c r="L25" s="31">
        <v>9.1</v>
      </c>
      <c r="M25" s="31">
        <v>8.5</v>
      </c>
      <c r="N25" s="31">
        <v>7.9</v>
      </c>
      <c r="O25" s="31">
        <v>7.4</v>
      </c>
    </row>
    <row r="26" spans="1:15" x14ac:dyDescent="0.25">
      <c r="A26" s="30">
        <v>19</v>
      </c>
      <c r="B26" s="31">
        <v>16.2</v>
      </c>
      <c r="C26" s="31">
        <v>15.2</v>
      </c>
      <c r="D26" s="31">
        <v>14.3</v>
      </c>
      <c r="E26" s="31">
        <v>13.4</v>
      </c>
      <c r="F26" s="31">
        <v>12.6</v>
      </c>
      <c r="G26" s="31">
        <v>11.8</v>
      </c>
      <c r="H26" s="31">
        <v>11.1</v>
      </c>
      <c r="I26" s="31">
        <v>10.199999999999999</v>
      </c>
      <c r="J26" s="31">
        <v>9.6999999999999993</v>
      </c>
      <c r="K26" s="31">
        <v>9</v>
      </c>
      <c r="L26" s="31">
        <v>8.5</v>
      </c>
      <c r="M26" s="31">
        <v>7.9</v>
      </c>
      <c r="N26" s="32">
        <v>7.46</v>
      </c>
      <c r="O26" s="32">
        <v>6.95</v>
      </c>
    </row>
    <row r="27" spans="1:15" x14ac:dyDescent="0.25">
      <c r="A27" s="30">
        <v>18</v>
      </c>
      <c r="B27" s="31">
        <v>15.2</v>
      </c>
      <c r="C27" s="31">
        <v>14.3</v>
      </c>
      <c r="D27" s="31">
        <v>13.5</v>
      </c>
      <c r="E27" s="31">
        <v>12.6</v>
      </c>
      <c r="F27" s="31">
        <v>11.8</v>
      </c>
      <c r="G27" s="31">
        <v>11.1</v>
      </c>
      <c r="H27" s="31">
        <v>10.4</v>
      </c>
      <c r="I27" s="31">
        <v>9.8000000000000007</v>
      </c>
      <c r="J27" s="31">
        <v>9.1</v>
      </c>
      <c r="K27" s="31">
        <v>8.5</v>
      </c>
      <c r="L27" s="31">
        <v>7.9</v>
      </c>
      <c r="M27" s="32">
        <v>7.46</v>
      </c>
      <c r="N27" s="32">
        <v>6.97</v>
      </c>
      <c r="O27" s="32">
        <v>6.38</v>
      </c>
    </row>
    <row r="28" spans="1:15" x14ac:dyDescent="0.25">
      <c r="A28" s="30">
        <v>17</v>
      </c>
      <c r="B28" s="31">
        <v>14.4</v>
      </c>
      <c r="C28" s="31">
        <v>13.6</v>
      </c>
      <c r="D28" s="31">
        <v>12.7</v>
      </c>
      <c r="E28" s="31">
        <v>11.9</v>
      </c>
      <c r="F28" s="31">
        <v>11.1</v>
      </c>
      <c r="G28" s="31">
        <v>10.7</v>
      </c>
      <c r="H28" s="31">
        <v>9.8000000000000007</v>
      </c>
      <c r="I28" s="31">
        <v>9.1</v>
      </c>
      <c r="J28" s="31">
        <v>8.5</v>
      </c>
      <c r="K28" s="31">
        <v>8</v>
      </c>
      <c r="L28" s="32">
        <v>7.51</v>
      </c>
      <c r="M28" s="32">
        <v>7.07</v>
      </c>
      <c r="N28" s="32">
        <v>6.54</v>
      </c>
      <c r="O28" s="32">
        <v>6.1</v>
      </c>
    </row>
    <row r="29" spans="1:15" x14ac:dyDescent="0.25">
      <c r="A29" s="30">
        <v>16</v>
      </c>
      <c r="B29" s="31">
        <v>13.6</v>
      </c>
      <c r="C29" s="31">
        <v>12.7</v>
      </c>
      <c r="D29" s="31">
        <v>12</v>
      </c>
      <c r="E29" s="31">
        <v>11.1</v>
      </c>
      <c r="F29" s="31">
        <v>10.4</v>
      </c>
      <c r="G29" s="31">
        <v>9.8000000000000007</v>
      </c>
      <c r="H29" s="31">
        <v>9.1999999999999993</v>
      </c>
      <c r="I29" s="31">
        <v>8.6</v>
      </c>
      <c r="J29" s="31">
        <v>8</v>
      </c>
      <c r="K29" s="32">
        <v>7.53</v>
      </c>
      <c r="L29" s="32">
        <v>7.02</v>
      </c>
      <c r="M29" s="32">
        <v>6.56</v>
      </c>
      <c r="N29" s="32">
        <v>6.12</v>
      </c>
      <c r="O29" s="32">
        <v>5.71</v>
      </c>
    </row>
    <row r="30" spans="1:15" x14ac:dyDescent="0.25">
      <c r="A30" s="30">
        <v>15</v>
      </c>
      <c r="B30" s="31">
        <v>12.8</v>
      </c>
      <c r="C30" s="31">
        <v>12</v>
      </c>
      <c r="D30" s="31">
        <v>11.2</v>
      </c>
      <c r="E30" s="31">
        <v>10.5</v>
      </c>
      <c r="F30" s="31">
        <v>9.8000000000000007</v>
      </c>
      <c r="G30" s="31">
        <v>9.1999999999999993</v>
      </c>
      <c r="H30" s="31">
        <v>8.6</v>
      </c>
      <c r="I30" s="31">
        <v>8</v>
      </c>
      <c r="J30" s="32">
        <v>7.55</v>
      </c>
      <c r="K30" s="32">
        <v>7.04</v>
      </c>
      <c r="L30" s="32">
        <v>6.58</v>
      </c>
      <c r="M30" s="32">
        <v>6.14</v>
      </c>
      <c r="N30" s="32">
        <v>5.63</v>
      </c>
      <c r="O30" s="32">
        <v>5.34</v>
      </c>
    </row>
    <row r="31" spans="1:15" x14ac:dyDescent="0.25">
      <c r="A31" s="30">
        <v>14</v>
      </c>
      <c r="B31" s="31">
        <v>12</v>
      </c>
      <c r="C31" s="31">
        <v>11.3</v>
      </c>
      <c r="D31" s="31">
        <v>10.6</v>
      </c>
      <c r="E31" s="31">
        <v>9.9</v>
      </c>
      <c r="F31" s="32">
        <v>9.26</v>
      </c>
      <c r="G31" s="32">
        <v>8.65</v>
      </c>
      <c r="H31" s="32">
        <v>8.1</v>
      </c>
      <c r="I31" s="32">
        <v>7.58</v>
      </c>
      <c r="J31" s="32">
        <v>7.07</v>
      </c>
      <c r="K31" s="32">
        <v>6.63</v>
      </c>
      <c r="L31" s="32">
        <v>6.16</v>
      </c>
      <c r="M31" s="32">
        <v>5.74</v>
      </c>
      <c r="N31" s="32">
        <v>5.35</v>
      </c>
      <c r="O31" s="32">
        <v>4.99</v>
      </c>
    </row>
    <row r="32" spans="1:15" x14ac:dyDescent="0.25">
      <c r="A32" s="30">
        <v>13</v>
      </c>
      <c r="B32" s="33">
        <v>11.3</v>
      </c>
      <c r="C32" s="33">
        <v>10.6</v>
      </c>
      <c r="D32" s="34">
        <v>9.94</v>
      </c>
      <c r="E32" s="34">
        <v>9.09</v>
      </c>
      <c r="F32" s="34">
        <v>8.67</v>
      </c>
      <c r="G32" s="34">
        <v>8.1199999999999992</v>
      </c>
      <c r="H32" s="34">
        <v>7.61</v>
      </c>
      <c r="I32" s="34">
        <v>7.08</v>
      </c>
      <c r="J32" s="34">
        <v>6.61</v>
      </c>
      <c r="K32" s="34">
        <v>6.18</v>
      </c>
      <c r="L32" s="34">
        <v>5.78</v>
      </c>
      <c r="M32" s="34">
        <v>5.3</v>
      </c>
      <c r="N32" s="34">
        <v>5.01</v>
      </c>
      <c r="O32" s="33" t="s">
        <v>166</v>
      </c>
    </row>
    <row r="33" spans="1:15" x14ac:dyDescent="0.25">
      <c r="A33" s="30">
        <v>12</v>
      </c>
      <c r="B33" s="33">
        <v>10.6</v>
      </c>
      <c r="C33" s="33">
        <v>9.9</v>
      </c>
      <c r="D33" s="33">
        <v>9.3000000000000007</v>
      </c>
      <c r="E33" s="33">
        <v>8.6999999999999993</v>
      </c>
      <c r="F33" s="33">
        <v>8.1</v>
      </c>
      <c r="G33" s="34">
        <v>7.64</v>
      </c>
      <c r="H33" s="34">
        <v>7.13</v>
      </c>
      <c r="I33" s="34">
        <v>6.66</v>
      </c>
      <c r="J33" s="34">
        <v>6.22</v>
      </c>
      <c r="K33" s="34">
        <v>5.8</v>
      </c>
      <c r="L33" s="34">
        <v>5.4</v>
      </c>
      <c r="M33" s="34">
        <v>5.04</v>
      </c>
      <c r="N33" s="33" t="s">
        <v>166</v>
      </c>
      <c r="O33" s="34"/>
    </row>
    <row r="34" spans="1:15" x14ac:dyDescent="0.25">
      <c r="A34" s="30">
        <v>11</v>
      </c>
      <c r="B34" s="33">
        <v>10</v>
      </c>
      <c r="C34" s="33">
        <v>9.3000000000000007</v>
      </c>
      <c r="D34" s="33">
        <v>8.5</v>
      </c>
      <c r="E34" s="33">
        <v>8.1</v>
      </c>
      <c r="F34" s="34">
        <v>7.64</v>
      </c>
      <c r="G34" s="34">
        <v>7.15</v>
      </c>
      <c r="H34" s="34">
        <v>6.67</v>
      </c>
      <c r="I34" s="34">
        <v>6.23</v>
      </c>
      <c r="J34" s="33">
        <v>5.81</v>
      </c>
      <c r="K34" s="34">
        <v>5.41</v>
      </c>
      <c r="L34" s="34">
        <v>5.04</v>
      </c>
      <c r="M34" s="33" t="s">
        <v>166</v>
      </c>
      <c r="N34" s="34"/>
      <c r="O34" s="34"/>
    </row>
    <row r="35" spans="1:15" x14ac:dyDescent="0.25">
      <c r="A35" s="30">
        <v>10</v>
      </c>
      <c r="B35" s="34">
        <v>9.39</v>
      </c>
      <c r="C35" s="34">
        <v>8.7899999999999991</v>
      </c>
      <c r="D35" s="34">
        <v>8.2100000000000009</v>
      </c>
      <c r="E35" s="34">
        <v>7.68</v>
      </c>
      <c r="F35" s="34">
        <v>7.17</v>
      </c>
      <c r="G35" s="34">
        <v>6.7</v>
      </c>
      <c r="H35" s="34">
        <v>6.25</v>
      </c>
      <c r="I35" s="34">
        <v>5.83</v>
      </c>
      <c r="J35" s="34">
        <v>5.44</v>
      </c>
      <c r="K35" s="34">
        <v>5.0599999999999996</v>
      </c>
      <c r="L35" s="33" t="s">
        <v>166</v>
      </c>
      <c r="M35" s="34"/>
      <c r="N35" s="34"/>
      <c r="O35" s="34"/>
    </row>
    <row r="36" spans="1:15" x14ac:dyDescent="0.25">
      <c r="A36" s="30">
        <v>9</v>
      </c>
      <c r="B36" s="34">
        <v>8.82</v>
      </c>
      <c r="C36" s="34">
        <v>8.25</v>
      </c>
      <c r="D36" s="34">
        <v>7.69</v>
      </c>
      <c r="E36" s="34">
        <v>7.19</v>
      </c>
      <c r="F36" s="34">
        <v>6.37</v>
      </c>
      <c r="G36" s="34">
        <v>6.27</v>
      </c>
      <c r="H36" s="34">
        <v>5.85</v>
      </c>
      <c r="I36" s="34">
        <v>5.46</v>
      </c>
      <c r="J36" s="34">
        <v>5.08</v>
      </c>
      <c r="K36" s="33" t="s">
        <v>166</v>
      </c>
      <c r="L36" s="34"/>
      <c r="M36" s="34"/>
      <c r="N36" s="34"/>
      <c r="O36" s="34"/>
    </row>
    <row r="37" spans="1:15" x14ac:dyDescent="0.25">
      <c r="A37" s="30">
        <v>8</v>
      </c>
      <c r="B37" s="34">
        <v>8.31</v>
      </c>
      <c r="C37" s="34">
        <v>7.76</v>
      </c>
      <c r="D37" s="34">
        <v>7.23</v>
      </c>
      <c r="E37" s="34">
        <v>6.77</v>
      </c>
      <c r="F37" s="34">
        <v>6.32</v>
      </c>
      <c r="G37" s="34">
        <v>5.88</v>
      </c>
      <c r="H37" s="34">
        <v>5.48</v>
      </c>
      <c r="I37" s="34">
        <v>5.1100000000000003</v>
      </c>
      <c r="J37" s="33" t="s">
        <v>166</v>
      </c>
      <c r="K37" s="34"/>
      <c r="L37" s="34"/>
      <c r="M37" s="34"/>
      <c r="N37" s="34"/>
      <c r="O37" s="34"/>
    </row>
    <row r="38" spans="1:15" x14ac:dyDescent="0.25">
      <c r="A38" s="30">
        <v>7</v>
      </c>
      <c r="B38" s="34">
        <v>7.77</v>
      </c>
      <c r="C38" s="34">
        <v>7.25</v>
      </c>
      <c r="D38" s="34">
        <v>6.77</v>
      </c>
      <c r="E38" s="34">
        <v>6.17</v>
      </c>
      <c r="F38" s="34">
        <v>5.89</v>
      </c>
      <c r="G38" s="34">
        <v>5.5</v>
      </c>
      <c r="H38" s="34">
        <v>5.12</v>
      </c>
      <c r="I38" s="33" t="s">
        <v>166</v>
      </c>
      <c r="J38" s="33"/>
      <c r="K38" s="34"/>
      <c r="L38" s="34"/>
      <c r="M38" s="34"/>
      <c r="N38" s="34"/>
      <c r="O38" s="34"/>
    </row>
    <row r="39" spans="1:15" x14ac:dyDescent="0.25">
      <c r="A39" s="30">
        <v>6</v>
      </c>
      <c r="B39" s="34">
        <v>7.27</v>
      </c>
      <c r="C39" s="34">
        <v>6.79</v>
      </c>
      <c r="D39" s="34">
        <v>6.34</v>
      </c>
      <c r="E39" s="34">
        <v>5.91</v>
      </c>
      <c r="F39" s="34">
        <v>5.51</v>
      </c>
      <c r="G39" s="34">
        <v>5.14</v>
      </c>
      <c r="H39" s="33" t="s">
        <v>166</v>
      </c>
      <c r="I39" s="33"/>
      <c r="J39" s="33"/>
      <c r="K39" s="34"/>
      <c r="L39" s="34"/>
      <c r="M39" s="34"/>
      <c r="N39" s="34"/>
      <c r="O39" s="34"/>
    </row>
    <row r="40" spans="1:15" x14ac:dyDescent="0.25">
      <c r="A40" s="30">
        <v>5</v>
      </c>
      <c r="B40" s="34">
        <v>6.82</v>
      </c>
      <c r="C40" s="34">
        <v>6.36</v>
      </c>
      <c r="D40" s="34">
        <v>5.8</v>
      </c>
      <c r="E40" s="34">
        <v>5.54</v>
      </c>
      <c r="F40" s="33" t="s">
        <v>166</v>
      </c>
      <c r="G40" s="33" t="s">
        <v>166</v>
      </c>
      <c r="H40" s="33"/>
      <c r="I40" s="33"/>
      <c r="J40" s="33"/>
      <c r="K40" s="34"/>
      <c r="L40" s="34"/>
      <c r="M40" s="34"/>
      <c r="N40" s="34"/>
      <c r="O40" s="34"/>
    </row>
    <row r="41" spans="1:15" x14ac:dyDescent="0.25">
      <c r="A41" s="30">
        <v>4</v>
      </c>
      <c r="B41" s="34">
        <v>6.48</v>
      </c>
      <c r="C41" s="34">
        <v>5.96</v>
      </c>
      <c r="D41" s="34">
        <v>5.55</v>
      </c>
      <c r="E41" s="33" t="s">
        <v>166</v>
      </c>
      <c r="F41" s="33"/>
      <c r="G41" s="33"/>
      <c r="H41" s="33"/>
      <c r="I41" s="33"/>
      <c r="J41" s="33"/>
      <c r="K41" s="34"/>
      <c r="L41" s="34"/>
      <c r="M41" s="34"/>
      <c r="N41" s="34"/>
      <c r="O41" s="34"/>
    </row>
    <row r="42" spans="1:15" x14ac:dyDescent="0.25">
      <c r="A42" s="30">
        <v>3</v>
      </c>
      <c r="B42" s="34">
        <v>5.98</v>
      </c>
      <c r="C42" s="34">
        <v>5.57</v>
      </c>
      <c r="D42" s="34">
        <v>5.29</v>
      </c>
      <c r="E42" s="33"/>
      <c r="F42" s="33"/>
      <c r="G42" s="33"/>
      <c r="H42" s="33"/>
      <c r="I42" s="33"/>
      <c r="J42" s="33"/>
      <c r="K42" s="34"/>
      <c r="L42" s="34"/>
      <c r="M42" s="34"/>
      <c r="N42" s="34"/>
      <c r="O42" s="34"/>
    </row>
    <row r="43" spans="1:15" x14ac:dyDescent="0.25">
      <c r="A43" s="30">
        <v>2</v>
      </c>
      <c r="B43" s="34">
        <v>5.95</v>
      </c>
      <c r="C43" s="34">
        <v>5.21</v>
      </c>
      <c r="D43" s="33" t="s">
        <v>166</v>
      </c>
      <c r="E43" s="33"/>
      <c r="F43" s="33"/>
      <c r="G43" s="33"/>
      <c r="H43" s="33"/>
      <c r="I43" s="33"/>
      <c r="J43" s="33"/>
      <c r="K43" s="34"/>
      <c r="L43" s="34"/>
      <c r="M43" s="34"/>
      <c r="N43" s="34"/>
      <c r="O43" s="34"/>
    </row>
    <row r="44" spans="1:15" ht="15.75" thickBot="1" x14ac:dyDescent="0.3">
      <c r="A44" s="35">
        <v>1</v>
      </c>
      <c r="B44" s="36">
        <v>5.0599999999999996</v>
      </c>
      <c r="C44" s="37" t="s">
        <v>30</v>
      </c>
      <c r="D44" s="37"/>
      <c r="E44" s="37"/>
      <c r="F44" s="37"/>
      <c r="G44" s="37"/>
      <c r="H44" s="37"/>
      <c r="I44" s="37"/>
      <c r="J44" s="37"/>
      <c r="K44" s="36"/>
      <c r="L44" s="36"/>
      <c r="M44" s="36"/>
      <c r="N44" s="36"/>
      <c r="O44" s="36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sheetProtection algorithmName="SHA-512" hashValue="9CJMPjMx6UI2TB5q6rpmMTJMXsMnRHhBAJKGFRIcOxG95MY8oY3ZaVylApQ56d/dllrUcaPYh49l8lD1jYhotQ==" saltValue="6oIaXh/dE3Yy/EXixy4IuQ==" spinCount="100000" sheet="1" objects="1" scenarios="1"/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1953-F1FB-48A4-8DDF-9F1041B10E31}">
  <dimension ref="A1:C67"/>
  <sheetViews>
    <sheetView topLeftCell="A7" workbookViewId="0">
      <selection activeCell="F17" sqref="F17"/>
    </sheetView>
  </sheetViews>
  <sheetFormatPr defaultRowHeight="15" x14ac:dyDescent="0.25"/>
  <sheetData>
    <row r="1" spans="1:3" x14ac:dyDescent="0.25">
      <c r="A1" s="3" t="s">
        <v>16</v>
      </c>
      <c r="B1" s="3" t="s">
        <v>17</v>
      </c>
      <c r="C1" s="3" t="s">
        <v>18</v>
      </c>
    </row>
    <row r="2" spans="1:3" x14ac:dyDescent="0.25">
      <c r="A2" s="5">
        <v>3.8</v>
      </c>
      <c r="B2" s="5">
        <v>3.3</v>
      </c>
      <c r="C2" s="5">
        <v>0</v>
      </c>
    </row>
    <row r="3" spans="1:3" x14ac:dyDescent="0.25">
      <c r="A3" s="5">
        <v>4</v>
      </c>
      <c r="B3" s="5">
        <v>3.9</v>
      </c>
      <c r="C3" s="5">
        <v>0.5</v>
      </c>
    </row>
    <row r="4" spans="1:3" x14ac:dyDescent="0.25">
      <c r="A4" s="5">
        <v>4.3</v>
      </c>
      <c r="B4" s="5">
        <v>4.4000000000000004</v>
      </c>
      <c r="C4" s="5">
        <v>1.1000000000000001</v>
      </c>
    </row>
    <row r="5" spans="1:3" x14ac:dyDescent="0.25">
      <c r="A5" s="5">
        <v>4.5</v>
      </c>
      <c r="B5" s="5">
        <v>5</v>
      </c>
      <c r="C5" s="5">
        <v>1.6</v>
      </c>
    </row>
    <row r="6" spans="1:3" x14ac:dyDescent="0.25">
      <c r="A6" s="5">
        <v>4.8</v>
      </c>
      <c r="B6" s="5">
        <v>5.5</v>
      </c>
      <c r="C6" s="5">
        <v>2.1</v>
      </c>
    </row>
    <row r="7" spans="1:3" x14ac:dyDescent="0.25">
      <c r="A7" s="5">
        <v>5</v>
      </c>
      <c r="B7" s="5">
        <v>6</v>
      </c>
      <c r="C7" s="5">
        <v>2.8</v>
      </c>
    </row>
    <row r="8" spans="1:3" x14ac:dyDescent="0.25">
      <c r="A8" s="5">
        <v>5.2</v>
      </c>
      <c r="B8" s="5">
        <v>6.6</v>
      </c>
      <c r="C8" s="5">
        <v>3.3</v>
      </c>
    </row>
    <row r="9" spans="1:3" x14ac:dyDescent="0.25">
      <c r="A9" s="5">
        <v>5.4</v>
      </c>
      <c r="B9" s="5">
        <v>7.1</v>
      </c>
      <c r="C9" s="5">
        <v>3.9</v>
      </c>
    </row>
    <row r="10" spans="1:3" x14ac:dyDescent="0.25">
      <c r="A10" s="5">
        <v>5.5</v>
      </c>
      <c r="B10" s="5">
        <v>7.7</v>
      </c>
      <c r="C10" s="5">
        <v>4.4000000000000004</v>
      </c>
    </row>
    <row r="11" spans="1:3" x14ac:dyDescent="0.25">
      <c r="A11" s="5">
        <v>5.7</v>
      </c>
      <c r="B11" s="5">
        <v>8.3000000000000007</v>
      </c>
      <c r="C11" s="5">
        <v>5</v>
      </c>
    </row>
    <row r="12" spans="1:3" x14ac:dyDescent="0.25">
      <c r="A12" s="5">
        <v>6</v>
      </c>
      <c r="B12" s="5">
        <v>8.8000000000000007</v>
      </c>
      <c r="C12" s="5">
        <v>5.5</v>
      </c>
    </row>
    <row r="13" spans="1:3" x14ac:dyDescent="0.25">
      <c r="A13" s="5">
        <v>6.1</v>
      </c>
      <c r="B13" s="5">
        <v>9.3000000000000007</v>
      </c>
      <c r="C13" s="5">
        <v>6</v>
      </c>
    </row>
    <row r="14" spans="1:3" x14ac:dyDescent="0.25">
      <c r="A14" s="5">
        <v>6.2</v>
      </c>
      <c r="B14" s="5">
        <v>10</v>
      </c>
      <c r="C14" s="5">
        <v>6.6</v>
      </c>
    </row>
    <row r="15" spans="1:3" x14ac:dyDescent="0.25">
      <c r="A15" s="5">
        <v>7</v>
      </c>
      <c r="B15" s="5">
        <v>11.1</v>
      </c>
      <c r="C15" s="5">
        <v>7.1</v>
      </c>
    </row>
    <row r="16" spans="1:3" x14ac:dyDescent="0.25">
      <c r="A16" s="5">
        <v>7.2</v>
      </c>
      <c r="B16" s="5">
        <v>11.6</v>
      </c>
      <c r="C16" s="5">
        <v>7.3</v>
      </c>
    </row>
    <row r="17" spans="1:3" x14ac:dyDescent="0.25">
      <c r="A17" s="5">
        <v>7.3</v>
      </c>
      <c r="B17" s="5">
        <v>12.2</v>
      </c>
      <c r="C17" s="5">
        <v>8.8000000000000007</v>
      </c>
    </row>
    <row r="18" spans="1:3" x14ac:dyDescent="0.25">
      <c r="A18" s="5">
        <v>7.4</v>
      </c>
      <c r="B18" s="5">
        <v>12.8</v>
      </c>
      <c r="C18" s="5">
        <v>9.3000000000000007</v>
      </c>
    </row>
    <row r="19" spans="1:3" x14ac:dyDescent="0.25">
      <c r="A19" s="5">
        <v>7.8</v>
      </c>
      <c r="B19" s="5">
        <v>13.3</v>
      </c>
      <c r="C19" s="5">
        <v>10</v>
      </c>
    </row>
    <row r="20" spans="1:3" x14ac:dyDescent="0.25">
      <c r="A20" s="5">
        <v>8.1</v>
      </c>
      <c r="B20" s="5">
        <v>14</v>
      </c>
      <c r="C20" s="5">
        <v>10.5</v>
      </c>
    </row>
    <row r="21" spans="1:3" x14ac:dyDescent="0.25">
      <c r="A21" s="5">
        <v>8.5</v>
      </c>
      <c r="B21" s="5">
        <v>14.4</v>
      </c>
      <c r="C21" s="5">
        <v>11.1</v>
      </c>
    </row>
    <row r="22" spans="1:3" x14ac:dyDescent="0.25">
      <c r="A22" s="5">
        <v>8.9</v>
      </c>
      <c r="B22" s="5">
        <v>15</v>
      </c>
      <c r="C22" s="5">
        <v>11.6</v>
      </c>
    </row>
    <row r="23" spans="1:3" x14ac:dyDescent="0.25">
      <c r="A23" s="5">
        <v>9.1999999999999993</v>
      </c>
      <c r="B23" s="5">
        <v>15.5</v>
      </c>
      <c r="C23" s="5">
        <v>12.2</v>
      </c>
    </row>
    <row r="24" spans="1:3" x14ac:dyDescent="0.25">
      <c r="A24" s="5">
        <v>9.5</v>
      </c>
      <c r="B24" s="5">
        <v>16</v>
      </c>
      <c r="C24" s="5">
        <v>12.8</v>
      </c>
    </row>
    <row r="25" spans="1:3" x14ac:dyDescent="0.25">
      <c r="A25" s="5">
        <v>9.6999999999999993</v>
      </c>
      <c r="B25" s="5">
        <v>16.600000000000001</v>
      </c>
      <c r="C25" s="5">
        <v>13.3</v>
      </c>
    </row>
    <row r="26" spans="1:3" x14ac:dyDescent="0.25">
      <c r="A26" s="5">
        <v>10.199999999999999</v>
      </c>
      <c r="B26" s="5">
        <v>16.7</v>
      </c>
      <c r="C26" s="5">
        <v>14</v>
      </c>
    </row>
    <row r="27" spans="1:3" x14ac:dyDescent="0.25">
      <c r="A27" s="5">
        <v>10.5</v>
      </c>
      <c r="B27" s="5">
        <v>17.7</v>
      </c>
      <c r="C27" s="5">
        <v>14.4</v>
      </c>
    </row>
    <row r="28" spans="1:3" x14ac:dyDescent="0.25">
      <c r="A28" s="5">
        <v>10.9</v>
      </c>
      <c r="B28" s="5">
        <v>18</v>
      </c>
      <c r="C28" s="5">
        <v>15</v>
      </c>
    </row>
    <row r="29" spans="1:3" x14ac:dyDescent="0.25">
      <c r="A29" s="5">
        <v>11.3</v>
      </c>
      <c r="B29" s="5">
        <v>18.8</v>
      </c>
      <c r="C29" s="5">
        <v>15.5</v>
      </c>
    </row>
    <row r="30" spans="1:3" x14ac:dyDescent="0.25">
      <c r="A30" s="5">
        <v>12</v>
      </c>
      <c r="B30" s="5">
        <v>19.399999999999999</v>
      </c>
      <c r="C30" s="5">
        <v>16</v>
      </c>
    </row>
    <row r="31" spans="1:3" x14ac:dyDescent="0.25">
      <c r="A31" s="5">
        <v>12.4</v>
      </c>
      <c r="B31" s="5">
        <v>20</v>
      </c>
      <c r="C31" s="5">
        <v>16.600000000000001</v>
      </c>
    </row>
    <row r="32" spans="1:3" x14ac:dyDescent="0.25">
      <c r="A32" s="5">
        <v>12.7</v>
      </c>
      <c r="B32" s="5">
        <v>20.5</v>
      </c>
      <c r="C32" s="5">
        <v>16.7</v>
      </c>
    </row>
    <row r="33" spans="1:3" x14ac:dyDescent="0.25">
      <c r="A33" s="5">
        <v>13.3</v>
      </c>
      <c r="B33" s="5">
        <v>21</v>
      </c>
      <c r="C33" s="5">
        <v>17.7</v>
      </c>
    </row>
    <row r="34" spans="1:3" x14ac:dyDescent="0.25">
      <c r="A34" s="5">
        <v>13.5</v>
      </c>
      <c r="B34" s="5">
        <v>21.6</v>
      </c>
      <c r="C34" s="5">
        <v>18</v>
      </c>
    </row>
    <row r="35" spans="1:3" x14ac:dyDescent="0.25">
      <c r="A35" s="5">
        <v>13.7</v>
      </c>
      <c r="B35" s="5">
        <v>22</v>
      </c>
      <c r="C35" s="5">
        <v>18.8</v>
      </c>
    </row>
    <row r="36" spans="1:3" x14ac:dyDescent="0.25">
      <c r="A36" s="5">
        <v>14.1</v>
      </c>
      <c r="B36" s="5">
        <v>22.8</v>
      </c>
      <c r="C36" s="5">
        <v>19.399999999999999</v>
      </c>
    </row>
    <row r="37" spans="1:3" x14ac:dyDescent="0.25">
      <c r="A37" s="5">
        <v>15.1</v>
      </c>
      <c r="B37" s="5">
        <v>23.3</v>
      </c>
      <c r="C37" s="5">
        <v>20</v>
      </c>
    </row>
    <row r="38" spans="1:3" x14ac:dyDescent="0.25">
      <c r="A38" s="5">
        <v>15.5</v>
      </c>
      <c r="B38" s="5">
        <v>24</v>
      </c>
      <c r="C38" s="5">
        <v>20.5</v>
      </c>
    </row>
    <row r="39" spans="1:3" x14ac:dyDescent="0.25">
      <c r="A39" s="5">
        <v>15.9</v>
      </c>
      <c r="B39" s="5">
        <v>25</v>
      </c>
      <c r="C39" s="5">
        <v>21</v>
      </c>
    </row>
    <row r="40" spans="1:3" x14ac:dyDescent="0.25">
      <c r="A40" s="5">
        <v>16.2</v>
      </c>
      <c r="B40" s="5">
        <v>25.5</v>
      </c>
      <c r="C40" s="5">
        <v>21.6</v>
      </c>
    </row>
    <row r="41" spans="1:3" x14ac:dyDescent="0.25">
      <c r="A41" s="5">
        <v>16.899999999999999</v>
      </c>
      <c r="B41" s="5">
        <v>26</v>
      </c>
      <c r="C41" s="5">
        <v>22</v>
      </c>
    </row>
    <row r="42" spans="1:3" x14ac:dyDescent="0.25">
      <c r="A42" s="5">
        <v>17.600000000000001</v>
      </c>
      <c r="B42" s="5">
        <v>26.5</v>
      </c>
      <c r="C42" s="5">
        <v>22.8</v>
      </c>
    </row>
    <row r="43" spans="1:3" x14ac:dyDescent="0.25">
      <c r="A43" s="5">
        <v>18</v>
      </c>
      <c r="B43" s="5">
        <v>27</v>
      </c>
      <c r="C43" s="5">
        <v>23.3</v>
      </c>
    </row>
    <row r="44" spans="1:3" x14ac:dyDescent="0.25">
      <c r="A44" s="5">
        <v>18.7</v>
      </c>
      <c r="B44" s="5">
        <v>28</v>
      </c>
      <c r="C44" s="5">
        <v>24</v>
      </c>
    </row>
    <row r="45" spans="1:3" x14ac:dyDescent="0.25">
      <c r="A45" s="5">
        <v>19.399999999999999</v>
      </c>
      <c r="B45" s="5">
        <v>29</v>
      </c>
      <c r="C45" s="5">
        <v>24.5</v>
      </c>
    </row>
    <row r="46" spans="1:3" x14ac:dyDescent="0.25">
      <c r="A46" s="5">
        <v>20</v>
      </c>
      <c r="B46" s="5">
        <v>29.5</v>
      </c>
      <c r="C46" s="5">
        <v>25</v>
      </c>
    </row>
    <row r="47" spans="1:3" x14ac:dyDescent="0.25">
      <c r="A47" s="5">
        <v>20.399999999999999</v>
      </c>
      <c r="B47" s="5">
        <v>30</v>
      </c>
      <c r="C47" s="5">
        <v>25.5</v>
      </c>
    </row>
    <row r="48" spans="1:3" x14ac:dyDescent="0.25">
      <c r="A48" s="5">
        <v>21.8</v>
      </c>
      <c r="B48" s="5">
        <v>31</v>
      </c>
      <c r="C48" s="5">
        <v>26.5</v>
      </c>
    </row>
    <row r="49" spans="1:3" x14ac:dyDescent="0.25">
      <c r="A49" s="5">
        <v>22.7</v>
      </c>
      <c r="B49" s="5">
        <v>31.5</v>
      </c>
      <c r="C49" s="5">
        <v>27</v>
      </c>
    </row>
    <row r="50" spans="1:3" x14ac:dyDescent="0.25">
      <c r="A50" s="5">
        <v>23.2</v>
      </c>
      <c r="B50" s="5">
        <v>32</v>
      </c>
      <c r="C50" s="5">
        <v>28</v>
      </c>
    </row>
    <row r="51" spans="1:3" x14ac:dyDescent="0.25">
      <c r="A51" s="5">
        <v>23.9</v>
      </c>
      <c r="B51" s="5">
        <v>32.5</v>
      </c>
      <c r="C51" s="5">
        <v>29</v>
      </c>
    </row>
    <row r="52" spans="1:3" x14ac:dyDescent="0.25">
      <c r="A52" s="5">
        <v>24.7</v>
      </c>
      <c r="B52" s="5">
        <v>33</v>
      </c>
      <c r="C52" s="5">
        <v>29.5</v>
      </c>
    </row>
    <row r="53" spans="1:3" x14ac:dyDescent="0.25">
      <c r="A53" s="5">
        <v>25.4</v>
      </c>
      <c r="B53" s="5">
        <v>34</v>
      </c>
      <c r="C53" s="5">
        <v>30</v>
      </c>
    </row>
    <row r="54" spans="1:3" x14ac:dyDescent="0.25">
      <c r="A54" s="5">
        <v>26.4</v>
      </c>
      <c r="B54" s="5">
        <v>34.6</v>
      </c>
      <c r="C54" s="5">
        <v>30.5</v>
      </c>
    </row>
    <row r="55" spans="1:3" x14ac:dyDescent="0.25">
      <c r="A55" s="5">
        <v>27.5</v>
      </c>
      <c r="B55" s="5">
        <v>35</v>
      </c>
      <c r="C55" s="5">
        <v>31</v>
      </c>
    </row>
    <row r="56" spans="1:3" x14ac:dyDescent="0.25">
      <c r="A56" s="5">
        <v>28.2</v>
      </c>
      <c r="B56" s="5">
        <v>35.5</v>
      </c>
      <c r="C56" s="5">
        <v>31.5</v>
      </c>
    </row>
    <row r="57" spans="1:3" x14ac:dyDescent="0.25">
      <c r="A57" s="5">
        <v>28.8</v>
      </c>
      <c r="B57" s="5">
        <v>36</v>
      </c>
      <c r="C57" s="5">
        <v>32</v>
      </c>
    </row>
    <row r="58" spans="1:3" x14ac:dyDescent="0.25">
      <c r="A58" s="5">
        <v>29.9</v>
      </c>
      <c r="B58" s="5">
        <v>36.5</v>
      </c>
      <c r="C58" s="5">
        <v>32.5</v>
      </c>
    </row>
    <row r="59" spans="1:3" x14ac:dyDescent="0.25">
      <c r="A59" s="5">
        <v>30.6</v>
      </c>
      <c r="B59" s="5">
        <v>37</v>
      </c>
      <c r="C59" s="5">
        <v>33</v>
      </c>
    </row>
    <row r="60" spans="1:3" x14ac:dyDescent="0.25">
      <c r="A60" s="5">
        <v>31.3</v>
      </c>
      <c r="B60" s="5">
        <v>37.5</v>
      </c>
      <c r="C60" s="5">
        <v>34</v>
      </c>
    </row>
    <row r="61" spans="1:3" x14ac:dyDescent="0.25">
      <c r="A61" s="5">
        <v>32.4</v>
      </c>
      <c r="B61" s="5">
        <v>38</v>
      </c>
      <c r="C61" s="5">
        <v>34.5</v>
      </c>
    </row>
    <row r="62" spans="1:3" x14ac:dyDescent="0.25">
      <c r="A62" s="5">
        <v>33.5</v>
      </c>
      <c r="B62" s="5">
        <v>38.5</v>
      </c>
      <c r="C62" s="5">
        <v>35</v>
      </c>
    </row>
    <row r="63" spans="1:3" x14ac:dyDescent="0.25">
      <c r="A63" s="5">
        <v>34</v>
      </c>
      <c r="B63" s="5">
        <v>39</v>
      </c>
      <c r="C63" s="5">
        <v>35.5</v>
      </c>
    </row>
    <row r="64" spans="1:3" x14ac:dyDescent="0.25">
      <c r="A64" s="5">
        <v>35.299999999999997</v>
      </c>
      <c r="B64" s="5">
        <v>40</v>
      </c>
      <c r="C64" s="5">
        <v>36</v>
      </c>
    </row>
    <row r="65" spans="1:3" x14ac:dyDescent="0.25">
      <c r="A65" s="5">
        <v>36.700000000000003</v>
      </c>
      <c r="B65" s="5">
        <v>40.5</v>
      </c>
      <c r="C65" s="5">
        <v>36.5</v>
      </c>
    </row>
    <row r="66" spans="1:3" x14ac:dyDescent="0.25">
      <c r="A66" s="5">
        <v>37.78</v>
      </c>
      <c r="B66" s="5">
        <v>41</v>
      </c>
      <c r="C66" s="5">
        <v>37</v>
      </c>
    </row>
    <row r="67" spans="1:3" x14ac:dyDescent="0.25">
      <c r="A67" s="5">
        <v>38.840000000000003</v>
      </c>
      <c r="B67" s="5">
        <v>42</v>
      </c>
      <c r="C67" s="5">
        <v>37.5</v>
      </c>
    </row>
  </sheetData>
  <sheetProtection algorithmName="SHA-512" hashValue="phyhAZenGw2ebrrwELwPTQogPhW4TTo6z20aoKuebQd+yvaZD/iv4M50RvupxWwLus2EaiZX3z4YznsNR++apg==" saltValue="2S8iLxME2+0/k32N6dMME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72FE-361D-495F-9E3E-F9A0565518B0}">
  <sheetPr filterMode="1"/>
  <dimension ref="A1:C648"/>
  <sheetViews>
    <sheetView workbookViewId="0">
      <selection activeCell="A2" sqref="A2:C648"/>
    </sheetView>
  </sheetViews>
  <sheetFormatPr defaultRowHeight="15" x14ac:dyDescent="0.25"/>
  <sheetData>
    <row r="1" spans="1:3" x14ac:dyDescent="0.25">
      <c r="A1" t="s">
        <v>27</v>
      </c>
      <c r="B1" t="s">
        <v>28</v>
      </c>
      <c r="C1" t="s">
        <v>17</v>
      </c>
    </row>
    <row r="2" spans="1:3" x14ac:dyDescent="0.25">
      <c r="A2" s="6">
        <v>100</v>
      </c>
      <c r="B2" s="6">
        <v>99</v>
      </c>
      <c r="C2" s="6">
        <v>100</v>
      </c>
    </row>
    <row r="3" spans="1:3" x14ac:dyDescent="0.25">
      <c r="A3" s="6">
        <v>100</v>
      </c>
      <c r="B3" s="6">
        <v>98</v>
      </c>
      <c r="C3" s="6">
        <v>99</v>
      </c>
    </row>
    <row r="4" spans="1:3" x14ac:dyDescent="0.25">
      <c r="A4" s="6">
        <v>100</v>
      </c>
      <c r="B4" s="6">
        <v>97</v>
      </c>
      <c r="C4" s="6">
        <v>97</v>
      </c>
    </row>
    <row r="5" spans="1:3" x14ac:dyDescent="0.25">
      <c r="A5" s="6">
        <v>100</v>
      </c>
      <c r="B5" s="6">
        <v>96</v>
      </c>
      <c r="C5" s="6">
        <v>95</v>
      </c>
    </row>
    <row r="6" spans="1:3" x14ac:dyDescent="0.25">
      <c r="A6" s="6">
        <v>100</v>
      </c>
      <c r="B6" s="6">
        <v>95</v>
      </c>
      <c r="C6" s="6">
        <v>94</v>
      </c>
    </row>
    <row r="7" spans="1:3" x14ac:dyDescent="0.25">
      <c r="A7" s="6">
        <v>100</v>
      </c>
      <c r="B7" s="6">
        <v>94</v>
      </c>
      <c r="C7" s="6">
        <v>92</v>
      </c>
    </row>
    <row r="8" spans="1:3" x14ac:dyDescent="0.25">
      <c r="A8" s="6">
        <v>100</v>
      </c>
      <c r="B8" s="6">
        <v>93</v>
      </c>
      <c r="C8" s="6">
        <v>90</v>
      </c>
    </row>
    <row r="9" spans="1:3" x14ac:dyDescent="0.25">
      <c r="A9" s="6">
        <v>100</v>
      </c>
      <c r="B9" s="6">
        <v>92</v>
      </c>
      <c r="C9" s="6">
        <v>89</v>
      </c>
    </row>
    <row r="10" spans="1:3" x14ac:dyDescent="0.25">
      <c r="A10" s="6">
        <v>100</v>
      </c>
      <c r="B10" s="6">
        <v>91</v>
      </c>
      <c r="C10" s="6">
        <v>87</v>
      </c>
    </row>
    <row r="11" spans="1:3" x14ac:dyDescent="0.25">
      <c r="A11" s="6">
        <v>100</v>
      </c>
      <c r="B11" s="6">
        <v>90</v>
      </c>
      <c r="C11" s="6">
        <v>86</v>
      </c>
    </row>
    <row r="12" spans="1:3" x14ac:dyDescent="0.25">
      <c r="A12" s="6">
        <v>99</v>
      </c>
      <c r="B12" s="6">
        <v>98</v>
      </c>
      <c r="C12" s="6">
        <v>99</v>
      </c>
    </row>
    <row r="13" spans="1:3" x14ac:dyDescent="0.25">
      <c r="A13" s="6">
        <v>99</v>
      </c>
      <c r="B13" s="6">
        <v>97</v>
      </c>
      <c r="C13" s="6">
        <v>97</v>
      </c>
    </row>
    <row r="14" spans="1:3" x14ac:dyDescent="0.25">
      <c r="A14" s="6">
        <v>99</v>
      </c>
      <c r="B14" s="6">
        <v>96</v>
      </c>
      <c r="C14" s="6">
        <v>96</v>
      </c>
    </row>
    <row r="15" spans="1:3" x14ac:dyDescent="0.25">
      <c r="A15" s="6">
        <v>99</v>
      </c>
      <c r="B15" s="6">
        <v>95</v>
      </c>
      <c r="C15" s="6">
        <v>94</v>
      </c>
    </row>
    <row r="16" spans="1:3" x14ac:dyDescent="0.25">
      <c r="A16" s="6">
        <v>99</v>
      </c>
      <c r="B16" s="6">
        <v>94</v>
      </c>
      <c r="C16" s="6">
        <v>93</v>
      </c>
    </row>
    <row r="17" spans="1:3" x14ac:dyDescent="0.25">
      <c r="A17" s="6">
        <v>99</v>
      </c>
      <c r="B17" s="6">
        <v>93</v>
      </c>
      <c r="C17" s="6">
        <v>91</v>
      </c>
    </row>
    <row r="18" spans="1:3" x14ac:dyDescent="0.25">
      <c r="A18" s="6">
        <v>99</v>
      </c>
      <c r="B18" s="6">
        <v>92</v>
      </c>
      <c r="C18" s="6">
        <v>89</v>
      </c>
    </row>
    <row r="19" spans="1:3" x14ac:dyDescent="0.25">
      <c r="A19" s="6">
        <v>99</v>
      </c>
      <c r="B19" s="6">
        <v>91</v>
      </c>
      <c r="C19" s="6">
        <v>88</v>
      </c>
    </row>
    <row r="20" spans="1:3" x14ac:dyDescent="0.25">
      <c r="A20" s="6">
        <v>99</v>
      </c>
      <c r="B20" s="6">
        <v>90</v>
      </c>
      <c r="C20" s="6">
        <v>86</v>
      </c>
    </row>
    <row r="21" spans="1:3" x14ac:dyDescent="0.25">
      <c r="A21" s="6">
        <v>99</v>
      </c>
      <c r="B21" s="6">
        <v>89</v>
      </c>
      <c r="C21" s="6">
        <v>85</v>
      </c>
    </row>
    <row r="22" spans="1:3" x14ac:dyDescent="0.25">
      <c r="A22" s="6">
        <v>98</v>
      </c>
      <c r="B22" s="6">
        <v>97</v>
      </c>
      <c r="C22" s="6">
        <v>98</v>
      </c>
    </row>
    <row r="23" spans="1:3" x14ac:dyDescent="0.25">
      <c r="A23" s="6">
        <v>98</v>
      </c>
      <c r="B23" s="6">
        <v>96</v>
      </c>
      <c r="C23" s="6">
        <v>96</v>
      </c>
    </row>
    <row r="24" spans="1:3" x14ac:dyDescent="0.25">
      <c r="A24" s="6">
        <v>98</v>
      </c>
      <c r="B24" s="6">
        <v>95</v>
      </c>
      <c r="C24" s="6">
        <v>95</v>
      </c>
    </row>
    <row r="25" spans="1:3" x14ac:dyDescent="0.25">
      <c r="A25" s="6">
        <v>98</v>
      </c>
      <c r="B25" s="6">
        <v>94</v>
      </c>
      <c r="C25" s="6">
        <v>93</v>
      </c>
    </row>
    <row r="26" spans="1:3" x14ac:dyDescent="0.25">
      <c r="A26" s="6">
        <v>98</v>
      </c>
      <c r="B26" s="6">
        <v>93</v>
      </c>
      <c r="C26" s="6">
        <v>92</v>
      </c>
    </row>
    <row r="27" spans="1:3" x14ac:dyDescent="0.25">
      <c r="A27" s="6">
        <v>98</v>
      </c>
      <c r="B27" s="6">
        <v>92</v>
      </c>
      <c r="C27" s="6">
        <v>90</v>
      </c>
    </row>
    <row r="28" spans="1:3" x14ac:dyDescent="0.25">
      <c r="A28" s="6">
        <v>98</v>
      </c>
      <c r="B28" s="6">
        <v>91</v>
      </c>
      <c r="C28" s="6">
        <v>88</v>
      </c>
    </row>
    <row r="29" spans="1:3" x14ac:dyDescent="0.25">
      <c r="A29" s="6">
        <v>98</v>
      </c>
      <c r="B29" s="6">
        <v>90</v>
      </c>
      <c r="C29" s="6">
        <v>87</v>
      </c>
    </row>
    <row r="30" spans="1:3" x14ac:dyDescent="0.25">
      <c r="A30" s="6">
        <v>98</v>
      </c>
      <c r="B30" s="6">
        <v>89</v>
      </c>
      <c r="C30" s="6">
        <v>85</v>
      </c>
    </row>
    <row r="31" spans="1:3" x14ac:dyDescent="0.25">
      <c r="A31" s="6">
        <v>98</v>
      </c>
      <c r="B31" s="6">
        <v>88</v>
      </c>
      <c r="C31" s="6">
        <v>81</v>
      </c>
    </row>
    <row r="32" spans="1:3" x14ac:dyDescent="0.25">
      <c r="A32" s="6">
        <v>97</v>
      </c>
      <c r="B32" s="6">
        <v>96</v>
      </c>
      <c r="C32" s="6">
        <v>97</v>
      </c>
    </row>
    <row r="33" spans="1:3" x14ac:dyDescent="0.25">
      <c r="A33" s="6">
        <v>97</v>
      </c>
      <c r="B33" s="6">
        <v>95</v>
      </c>
      <c r="C33" s="6">
        <v>95</v>
      </c>
    </row>
    <row r="34" spans="1:3" x14ac:dyDescent="0.25">
      <c r="A34" s="6">
        <v>97</v>
      </c>
      <c r="B34" s="6">
        <v>94</v>
      </c>
      <c r="C34" s="6">
        <v>94</v>
      </c>
    </row>
    <row r="35" spans="1:3" x14ac:dyDescent="0.25">
      <c r="A35" s="6">
        <v>97</v>
      </c>
      <c r="B35" s="6">
        <v>93</v>
      </c>
      <c r="C35" s="6">
        <v>92</v>
      </c>
    </row>
    <row r="36" spans="1:3" x14ac:dyDescent="0.25">
      <c r="A36" s="6">
        <v>97</v>
      </c>
      <c r="B36" s="6">
        <v>92</v>
      </c>
      <c r="C36" s="6">
        <v>91</v>
      </c>
    </row>
    <row r="37" spans="1:3" x14ac:dyDescent="0.25">
      <c r="A37" s="6">
        <v>97</v>
      </c>
      <c r="B37" s="6">
        <v>91</v>
      </c>
      <c r="C37" s="6">
        <v>89</v>
      </c>
    </row>
    <row r="38" spans="1:3" x14ac:dyDescent="0.25">
      <c r="A38" s="6">
        <v>97</v>
      </c>
      <c r="B38" s="6">
        <v>90</v>
      </c>
      <c r="C38" s="6">
        <v>87</v>
      </c>
    </row>
    <row r="39" spans="1:3" x14ac:dyDescent="0.25">
      <c r="A39" s="6">
        <v>97</v>
      </c>
      <c r="B39" s="6">
        <v>89</v>
      </c>
      <c r="C39" s="6">
        <v>86</v>
      </c>
    </row>
    <row r="40" spans="1:3" x14ac:dyDescent="0.25">
      <c r="A40" s="6">
        <v>97</v>
      </c>
      <c r="B40" s="6">
        <v>88</v>
      </c>
      <c r="C40" s="6">
        <v>84</v>
      </c>
    </row>
    <row r="41" spans="1:3" x14ac:dyDescent="0.25">
      <c r="A41" s="6">
        <v>97</v>
      </c>
      <c r="B41" s="6">
        <v>87</v>
      </c>
      <c r="C41" s="6">
        <v>83</v>
      </c>
    </row>
    <row r="42" spans="1:3" x14ac:dyDescent="0.25">
      <c r="A42" s="6">
        <v>96</v>
      </c>
      <c r="B42" s="6">
        <v>95</v>
      </c>
      <c r="C42" s="6">
        <v>96</v>
      </c>
    </row>
    <row r="43" spans="1:3" x14ac:dyDescent="0.25">
      <c r="A43" s="6">
        <v>96</v>
      </c>
      <c r="B43" s="6">
        <v>94</v>
      </c>
      <c r="C43" s="6">
        <v>94</v>
      </c>
    </row>
    <row r="44" spans="1:3" x14ac:dyDescent="0.25">
      <c r="A44" s="6">
        <v>96</v>
      </c>
      <c r="B44" s="6">
        <v>93</v>
      </c>
      <c r="C44" s="6">
        <v>93</v>
      </c>
    </row>
    <row r="45" spans="1:3" x14ac:dyDescent="0.25">
      <c r="A45" s="6">
        <v>96</v>
      </c>
      <c r="B45" s="6">
        <v>92</v>
      </c>
      <c r="C45" s="6">
        <v>90</v>
      </c>
    </row>
    <row r="46" spans="1:3" x14ac:dyDescent="0.25">
      <c r="A46" s="6">
        <v>96</v>
      </c>
      <c r="B46" s="6">
        <v>91</v>
      </c>
      <c r="C46" s="6">
        <v>89</v>
      </c>
    </row>
    <row r="47" spans="1:3" x14ac:dyDescent="0.25">
      <c r="A47" s="6">
        <v>96</v>
      </c>
      <c r="B47" s="6">
        <v>90</v>
      </c>
      <c r="C47" s="6">
        <v>88</v>
      </c>
    </row>
    <row r="48" spans="1:3" x14ac:dyDescent="0.25">
      <c r="A48" s="6">
        <v>96</v>
      </c>
      <c r="B48" s="6">
        <v>89</v>
      </c>
      <c r="C48" s="6">
        <v>86</v>
      </c>
    </row>
    <row r="49" spans="1:3" x14ac:dyDescent="0.25">
      <c r="A49" s="6">
        <v>96</v>
      </c>
      <c r="B49" s="6">
        <v>88</v>
      </c>
      <c r="C49" s="6">
        <v>85</v>
      </c>
    </row>
    <row r="50" spans="1:3" x14ac:dyDescent="0.25">
      <c r="A50" s="6">
        <v>96</v>
      </c>
      <c r="B50" s="6">
        <v>87</v>
      </c>
      <c r="C50" s="6">
        <v>83</v>
      </c>
    </row>
    <row r="51" spans="1:3" x14ac:dyDescent="0.25">
      <c r="A51" s="6">
        <v>96</v>
      </c>
      <c r="B51" s="6">
        <v>86</v>
      </c>
      <c r="C51" s="6">
        <v>82</v>
      </c>
    </row>
    <row r="52" spans="1:3" x14ac:dyDescent="0.25">
      <c r="A52" s="6">
        <v>95</v>
      </c>
      <c r="B52" s="6">
        <v>94</v>
      </c>
      <c r="C52" s="6">
        <v>95</v>
      </c>
    </row>
    <row r="53" spans="1:3" x14ac:dyDescent="0.25">
      <c r="A53" s="6">
        <v>95</v>
      </c>
      <c r="B53" s="6">
        <v>93</v>
      </c>
      <c r="C53" s="6">
        <v>93</v>
      </c>
    </row>
    <row r="54" spans="1:3" x14ac:dyDescent="0.25">
      <c r="A54" s="6">
        <v>95</v>
      </c>
      <c r="B54" s="6">
        <v>92</v>
      </c>
      <c r="C54" s="6">
        <v>92</v>
      </c>
    </row>
    <row r="55" spans="1:3" x14ac:dyDescent="0.25">
      <c r="A55" s="6">
        <v>95</v>
      </c>
      <c r="B55" s="6">
        <v>91</v>
      </c>
      <c r="C55" s="6">
        <v>90</v>
      </c>
    </row>
    <row r="56" spans="1:3" x14ac:dyDescent="0.25">
      <c r="A56" s="6">
        <v>95</v>
      </c>
      <c r="B56" s="6">
        <v>90</v>
      </c>
      <c r="C56" s="6">
        <v>88</v>
      </c>
    </row>
    <row r="57" spans="1:3" x14ac:dyDescent="0.25">
      <c r="A57" s="6">
        <v>95</v>
      </c>
      <c r="B57" s="6">
        <v>89</v>
      </c>
      <c r="C57" s="6">
        <v>87</v>
      </c>
    </row>
    <row r="58" spans="1:3" x14ac:dyDescent="0.25">
      <c r="A58" s="6">
        <v>95</v>
      </c>
      <c r="B58" s="6">
        <v>88</v>
      </c>
      <c r="C58" s="6">
        <v>85</v>
      </c>
    </row>
    <row r="59" spans="1:3" x14ac:dyDescent="0.25">
      <c r="A59" s="6">
        <v>95</v>
      </c>
      <c r="B59" s="6">
        <v>87</v>
      </c>
      <c r="C59" s="6">
        <v>84</v>
      </c>
    </row>
    <row r="60" spans="1:3" x14ac:dyDescent="0.25">
      <c r="A60" s="6">
        <v>95</v>
      </c>
      <c r="B60" s="6">
        <v>86</v>
      </c>
      <c r="C60" s="6">
        <v>82</v>
      </c>
    </row>
    <row r="61" spans="1:3" x14ac:dyDescent="0.25">
      <c r="A61" s="6">
        <v>95</v>
      </c>
      <c r="B61" s="6">
        <v>85</v>
      </c>
      <c r="C61" s="6">
        <v>80</v>
      </c>
    </row>
    <row r="62" spans="1:3" x14ac:dyDescent="0.25">
      <c r="A62" s="6">
        <v>94</v>
      </c>
      <c r="B62" s="6">
        <v>93</v>
      </c>
      <c r="C62" s="6">
        <v>94</v>
      </c>
    </row>
    <row r="63" spans="1:3" x14ac:dyDescent="0.25">
      <c r="A63" s="6">
        <v>94</v>
      </c>
      <c r="B63" s="6">
        <v>92</v>
      </c>
      <c r="C63" s="6">
        <v>92</v>
      </c>
    </row>
    <row r="64" spans="1:3" x14ac:dyDescent="0.25">
      <c r="A64" s="6">
        <v>94</v>
      </c>
      <c r="B64" s="6">
        <v>91</v>
      </c>
      <c r="C64" s="6">
        <v>91</v>
      </c>
    </row>
    <row r="65" spans="1:3" x14ac:dyDescent="0.25">
      <c r="A65" s="6">
        <v>94</v>
      </c>
      <c r="B65" s="6">
        <v>90</v>
      </c>
      <c r="C65" s="6">
        <v>89</v>
      </c>
    </row>
    <row r="66" spans="1:3" x14ac:dyDescent="0.25">
      <c r="A66" s="6">
        <v>94</v>
      </c>
      <c r="B66" s="6">
        <v>89</v>
      </c>
      <c r="C66" s="6">
        <v>87</v>
      </c>
    </row>
    <row r="67" spans="1:3" x14ac:dyDescent="0.25">
      <c r="A67" s="6">
        <v>94</v>
      </c>
      <c r="B67" s="6">
        <v>88</v>
      </c>
      <c r="C67" s="6">
        <v>86</v>
      </c>
    </row>
    <row r="68" spans="1:3" x14ac:dyDescent="0.25">
      <c r="A68" s="6">
        <v>94</v>
      </c>
      <c r="B68" s="6">
        <v>87</v>
      </c>
      <c r="C68" s="6">
        <v>84</v>
      </c>
    </row>
    <row r="69" spans="1:3" x14ac:dyDescent="0.25">
      <c r="A69" s="6">
        <v>94</v>
      </c>
      <c r="B69" s="6">
        <v>86</v>
      </c>
      <c r="C69" s="6">
        <v>83</v>
      </c>
    </row>
    <row r="70" spans="1:3" x14ac:dyDescent="0.25">
      <c r="A70" s="6">
        <v>94</v>
      </c>
      <c r="B70" s="6">
        <v>85</v>
      </c>
      <c r="C70" s="6">
        <v>81</v>
      </c>
    </row>
    <row r="71" spans="1:3" x14ac:dyDescent="0.25">
      <c r="A71" s="6">
        <v>94</v>
      </c>
      <c r="B71" s="6">
        <v>81</v>
      </c>
      <c r="C71" s="6">
        <v>79</v>
      </c>
    </row>
    <row r="72" spans="1:3" x14ac:dyDescent="0.25">
      <c r="A72" s="6">
        <v>93</v>
      </c>
      <c r="B72" s="6">
        <v>92</v>
      </c>
      <c r="C72" s="6">
        <v>93</v>
      </c>
    </row>
    <row r="73" spans="1:3" x14ac:dyDescent="0.25">
      <c r="A73" s="6">
        <v>93</v>
      </c>
      <c r="B73" s="6">
        <v>91</v>
      </c>
      <c r="C73" s="6">
        <v>91</v>
      </c>
    </row>
    <row r="74" spans="1:3" x14ac:dyDescent="0.25">
      <c r="A74" s="6">
        <v>93</v>
      </c>
      <c r="B74" s="6">
        <v>90</v>
      </c>
      <c r="C74" s="6">
        <v>90</v>
      </c>
    </row>
    <row r="75" spans="1:3" x14ac:dyDescent="0.25">
      <c r="A75" s="6">
        <v>93</v>
      </c>
      <c r="B75" s="6">
        <v>89</v>
      </c>
      <c r="C75" s="6">
        <v>88</v>
      </c>
    </row>
    <row r="76" spans="1:3" x14ac:dyDescent="0.25">
      <c r="A76" s="6">
        <v>93</v>
      </c>
      <c r="B76" s="6">
        <v>88</v>
      </c>
      <c r="C76" s="6">
        <v>86</v>
      </c>
    </row>
    <row r="77" spans="1:3" x14ac:dyDescent="0.25">
      <c r="A77" s="6">
        <v>93</v>
      </c>
      <c r="B77" s="6">
        <v>87</v>
      </c>
      <c r="C77" s="6">
        <v>85</v>
      </c>
    </row>
    <row r="78" spans="1:3" x14ac:dyDescent="0.25">
      <c r="A78" s="6">
        <v>93</v>
      </c>
      <c r="B78" s="6">
        <v>86</v>
      </c>
      <c r="C78" s="6">
        <v>83</v>
      </c>
    </row>
    <row r="79" spans="1:3" x14ac:dyDescent="0.25">
      <c r="A79" s="6">
        <v>93</v>
      </c>
      <c r="B79" s="6">
        <v>85</v>
      </c>
      <c r="C79" s="6">
        <v>82</v>
      </c>
    </row>
    <row r="80" spans="1:3" x14ac:dyDescent="0.25">
      <c r="A80" s="6">
        <v>93</v>
      </c>
      <c r="B80" s="6">
        <v>84</v>
      </c>
      <c r="C80" s="6">
        <v>80</v>
      </c>
    </row>
    <row r="81" spans="1:3" x14ac:dyDescent="0.25">
      <c r="A81" s="6">
        <v>93</v>
      </c>
      <c r="B81" s="6">
        <v>83</v>
      </c>
      <c r="C81" s="6">
        <v>79</v>
      </c>
    </row>
    <row r="82" spans="1:3" x14ac:dyDescent="0.25">
      <c r="A82" s="6">
        <v>92</v>
      </c>
      <c r="B82" s="6">
        <v>91</v>
      </c>
      <c r="C82" s="6">
        <v>92</v>
      </c>
    </row>
    <row r="83" spans="1:3" x14ac:dyDescent="0.25">
      <c r="A83" s="6">
        <v>92</v>
      </c>
      <c r="B83" s="6">
        <v>90</v>
      </c>
      <c r="C83" s="6">
        <v>90</v>
      </c>
    </row>
    <row r="84" spans="1:3" x14ac:dyDescent="0.25">
      <c r="A84" s="6">
        <v>92</v>
      </c>
      <c r="B84" s="6">
        <v>89</v>
      </c>
      <c r="C84" s="6">
        <v>89</v>
      </c>
    </row>
    <row r="85" spans="1:3" x14ac:dyDescent="0.25">
      <c r="A85" s="6">
        <v>92</v>
      </c>
      <c r="B85" s="6">
        <v>88</v>
      </c>
      <c r="C85" s="6">
        <v>87</v>
      </c>
    </row>
    <row r="86" spans="1:3" x14ac:dyDescent="0.25">
      <c r="A86" s="6">
        <v>92</v>
      </c>
      <c r="B86" s="6">
        <v>87</v>
      </c>
      <c r="C86" s="6">
        <v>85</v>
      </c>
    </row>
    <row r="87" spans="1:3" x14ac:dyDescent="0.25">
      <c r="A87" s="6">
        <v>92</v>
      </c>
      <c r="B87" s="6">
        <v>86</v>
      </c>
      <c r="C87" s="6">
        <v>84</v>
      </c>
    </row>
    <row r="88" spans="1:3" x14ac:dyDescent="0.25">
      <c r="A88" s="6">
        <v>92</v>
      </c>
      <c r="B88" s="6">
        <v>85</v>
      </c>
      <c r="C88" s="6">
        <v>82</v>
      </c>
    </row>
    <row r="89" spans="1:3" x14ac:dyDescent="0.25">
      <c r="A89" s="6">
        <v>92</v>
      </c>
      <c r="B89" s="6">
        <v>84</v>
      </c>
      <c r="C89" s="6">
        <v>81</v>
      </c>
    </row>
    <row r="90" spans="1:3" x14ac:dyDescent="0.25">
      <c r="A90" s="6">
        <v>92</v>
      </c>
      <c r="B90" s="6">
        <v>83</v>
      </c>
      <c r="C90" s="6">
        <v>79</v>
      </c>
    </row>
    <row r="91" spans="1:3" x14ac:dyDescent="0.25">
      <c r="A91" s="6">
        <v>92</v>
      </c>
      <c r="B91" s="6">
        <v>82</v>
      </c>
      <c r="C91" s="6">
        <v>77</v>
      </c>
    </row>
    <row r="92" spans="1:3" x14ac:dyDescent="0.25">
      <c r="A92" s="6">
        <v>91</v>
      </c>
      <c r="B92" s="6">
        <v>90</v>
      </c>
      <c r="C92" s="6">
        <v>91</v>
      </c>
    </row>
    <row r="93" spans="1:3" x14ac:dyDescent="0.25">
      <c r="A93" s="6">
        <v>91</v>
      </c>
      <c r="B93" s="6">
        <v>89</v>
      </c>
      <c r="C93" s="6">
        <v>89</v>
      </c>
    </row>
    <row r="94" spans="1:3" x14ac:dyDescent="0.25">
      <c r="A94" s="6">
        <v>91</v>
      </c>
      <c r="B94" s="6">
        <v>88</v>
      </c>
      <c r="C94" s="6">
        <v>88</v>
      </c>
    </row>
    <row r="95" spans="1:3" x14ac:dyDescent="0.25">
      <c r="A95" s="6">
        <v>91</v>
      </c>
      <c r="B95" s="6">
        <v>87</v>
      </c>
      <c r="C95" s="6">
        <v>86</v>
      </c>
    </row>
    <row r="96" spans="1:3" x14ac:dyDescent="0.25">
      <c r="A96" s="6">
        <v>91</v>
      </c>
      <c r="B96" s="6">
        <v>86</v>
      </c>
      <c r="C96" s="6">
        <v>84</v>
      </c>
    </row>
    <row r="97" spans="1:3" x14ac:dyDescent="0.25">
      <c r="A97" s="6">
        <v>91</v>
      </c>
      <c r="B97" s="6">
        <v>85</v>
      </c>
      <c r="C97" s="6">
        <v>83</v>
      </c>
    </row>
    <row r="98" spans="1:3" x14ac:dyDescent="0.25">
      <c r="A98" s="6">
        <v>91</v>
      </c>
      <c r="B98" s="6">
        <v>84</v>
      </c>
      <c r="C98" s="6">
        <v>81</v>
      </c>
    </row>
    <row r="99" spans="1:3" x14ac:dyDescent="0.25">
      <c r="A99" s="6">
        <v>91</v>
      </c>
      <c r="B99" s="6">
        <v>83</v>
      </c>
      <c r="C99" s="6">
        <v>79</v>
      </c>
    </row>
    <row r="100" spans="1:3" x14ac:dyDescent="0.25">
      <c r="A100" s="6">
        <v>91</v>
      </c>
      <c r="B100" s="6">
        <v>82</v>
      </c>
      <c r="C100" s="6">
        <v>78</v>
      </c>
    </row>
    <row r="101" spans="1:3" x14ac:dyDescent="0.25">
      <c r="A101" s="6">
        <v>91</v>
      </c>
      <c r="B101" s="6">
        <v>81</v>
      </c>
      <c r="C101" s="6">
        <v>76</v>
      </c>
    </row>
    <row r="102" spans="1:3" x14ac:dyDescent="0.25">
      <c r="A102" s="6">
        <v>90</v>
      </c>
      <c r="B102" s="6">
        <v>89</v>
      </c>
      <c r="C102" s="6">
        <v>90</v>
      </c>
    </row>
    <row r="103" spans="1:3" x14ac:dyDescent="0.25">
      <c r="A103" s="6">
        <v>90</v>
      </c>
      <c r="B103" s="6">
        <v>88</v>
      </c>
      <c r="C103" s="6">
        <v>88</v>
      </c>
    </row>
    <row r="104" spans="1:3" x14ac:dyDescent="0.25">
      <c r="A104" s="6">
        <v>90</v>
      </c>
      <c r="B104" s="6">
        <v>87</v>
      </c>
      <c r="C104" s="6">
        <v>87</v>
      </c>
    </row>
    <row r="105" spans="1:3" x14ac:dyDescent="0.25">
      <c r="A105" s="6">
        <v>90</v>
      </c>
      <c r="B105" s="6">
        <v>86</v>
      </c>
      <c r="C105" s="6">
        <v>85</v>
      </c>
    </row>
    <row r="106" spans="1:3" x14ac:dyDescent="0.25">
      <c r="A106" s="6">
        <v>90</v>
      </c>
      <c r="B106" s="6">
        <v>85</v>
      </c>
      <c r="C106" s="6">
        <v>83</v>
      </c>
    </row>
    <row r="107" spans="1:3" x14ac:dyDescent="0.25">
      <c r="A107" s="6">
        <v>90</v>
      </c>
      <c r="B107" s="6">
        <v>84</v>
      </c>
      <c r="C107" s="6">
        <v>82</v>
      </c>
    </row>
    <row r="108" spans="1:3" x14ac:dyDescent="0.25">
      <c r="A108" s="6">
        <v>90</v>
      </c>
      <c r="B108" s="6">
        <v>83</v>
      </c>
      <c r="C108" s="6">
        <v>80</v>
      </c>
    </row>
    <row r="109" spans="1:3" x14ac:dyDescent="0.25">
      <c r="A109" s="6">
        <v>90</v>
      </c>
      <c r="B109" s="6">
        <v>82</v>
      </c>
      <c r="C109" s="6">
        <v>78</v>
      </c>
    </row>
    <row r="110" spans="1:3" x14ac:dyDescent="0.25">
      <c r="A110" s="6">
        <v>90</v>
      </c>
      <c r="B110" s="6">
        <v>81</v>
      </c>
      <c r="C110" s="6">
        <v>77</v>
      </c>
    </row>
    <row r="111" spans="1:3" x14ac:dyDescent="0.25">
      <c r="A111" s="6">
        <v>90</v>
      </c>
      <c r="B111" s="6">
        <v>80</v>
      </c>
      <c r="C111" s="6">
        <v>75</v>
      </c>
    </row>
    <row r="112" spans="1:3" x14ac:dyDescent="0.25">
      <c r="A112" s="6">
        <v>89</v>
      </c>
      <c r="B112" s="6">
        <v>88</v>
      </c>
      <c r="C112" s="6">
        <v>89</v>
      </c>
    </row>
    <row r="113" spans="1:3" x14ac:dyDescent="0.25">
      <c r="A113" s="6">
        <v>89</v>
      </c>
      <c r="B113" s="6">
        <v>87</v>
      </c>
      <c r="C113" s="6">
        <v>87</v>
      </c>
    </row>
    <row r="114" spans="1:3" x14ac:dyDescent="0.25">
      <c r="A114" s="6">
        <v>89</v>
      </c>
      <c r="B114" s="6">
        <v>86</v>
      </c>
      <c r="C114" s="6">
        <v>86</v>
      </c>
    </row>
    <row r="115" spans="1:3" x14ac:dyDescent="0.25">
      <c r="A115" s="6">
        <v>89</v>
      </c>
      <c r="B115" s="6">
        <v>85</v>
      </c>
      <c r="C115" s="6">
        <v>84</v>
      </c>
    </row>
    <row r="116" spans="1:3" x14ac:dyDescent="0.25">
      <c r="A116" s="6">
        <v>89</v>
      </c>
      <c r="B116" s="6">
        <v>84</v>
      </c>
      <c r="C116" s="6">
        <v>82</v>
      </c>
    </row>
    <row r="117" spans="1:3" x14ac:dyDescent="0.25">
      <c r="A117" s="6">
        <v>89</v>
      </c>
      <c r="B117" s="6">
        <v>83</v>
      </c>
      <c r="C117" s="6">
        <v>81</v>
      </c>
    </row>
    <row r="118" spans="1:3" x14ac:dyDescent="0.25">
      <c r="A118" s="6">
        <v>89</v>
      </c>
      <c r="B118" s="6">
        <v>82</v>
      </c>
      <c r="C118" s="6">
        <v>79</v>
      </c>
    </row>
    <row r="119" spans="1:3" x14ac:dyDescent="0.25">
      <c r="A119" s="6">
        <v>89</v>
      </c>
      <c r="B119" s="6">
        <v>81</v>
      </c>
      <c r="C119" s="6">
        <v>77</v>
      </c>
    </row>
    <row r="120" spans="1:3" x14ac:dyDescent="0.25">
      <c r="A120" s="6">
        <v>89</v>
      </c>
      <c r="B120" s="6">
        <v>80</v>
      </c>
      <c r="C120" s="6">
        <v>76</v>
      </c>
    </row>
    <row r="121" spans="1:3" x14ac:dyDescent="0.25">
      <c r="A121" s="6">
        <v>89</v>
      </c>
      <c r="B121" s="6">
        <v>79</v>
      </c>
      <c r="C121" s="6">
        <v>74</v>
      </c>
    </row>
    <row r="122" spans="1:3" x14ac:dyDescent="0.25">
      <c r="A122" s="6">
        <v>88</v>
      </c>
      <c r="B122" s="6">
        <v>87</v>
      </c>
      <c r="C122" s="6">
        <v>88</v>
      </c>
    </row>
    <row r="123" spans="1:3" x14ac:dyDescent="0.25">
      <c r="A123" s="6">
        <v>88</v>
      </c>
      <c r="B123" s="6">
        <v>86</v>
      </c>
      <c r="C123" s="6">
        <v>86</v>
      </c>
    </row>
    <row r="124" spans="1:3" x14ac:dyDescent="0.25">
      <c r="A124" s="6">
        <v>88</v>
      </c>
      <c r="B124" s="6">
        <v>85</v>
      </c>
      <c r="C124" s="6">
        <v>85</v>
      </c>
    </row>
    <row r="125" spans="1:3" x14ac:dyDescent="0.25">
      <c r="A125" s="6">
        <v>88</v>
      </c>
      <c r="B125" s="6">
        <v>84</v>
      </c>
      <c r="C125" s="6">
        <v>83</v>
      </c>
    </row>
    <row r="126" spans="1:3" x14ac:dyDescent="0.25">
      <c r="A126" s="6">
        <v>88</v>
      </c>
      <c r="B126" s="6">
        <v>83</v>
      </c>
      <c r="C126" s="6">
        <v>81</v>
      </c>
    </row>
    <row r="127" spans="1:3" x14ac:dyDescent="0.25">
      <c r="A127" s="6">
        <v>88</v>
      </c>
      <c r="B127" s="6">
        <v>82</v>
      </c>
      <c r="C127" s="6">
        <v>80</v>
      </c>
    </row>
    <row r="128" spans="1:3" x14ac:dyDescent="0.25">
      <c r="A128" s="6">
        <v>88</v>
      </c>
      <c r="B128" s="6">
        <v>81</v>
      </c>
      <c r="C128" s="6">
        <v>78</v>
      </c>
    </row>
    <row r="129" spans="1:3" x14ac:dyDescent="0.25">
      <c r="A129" s="6">
        <v>88</v>
      </c>
      <c r="B129" s="6">
        <v>80</v>
      </c>
      <c r="C129" s="6">
        <v>76</v>
      </c>
    </row>
    <row r="130" spans="1:3" x14ac:dyDescent="0.25">
      <c r="A130" s="6">
        <v>88</v>
      </c>
      <c r="B130" s="6">
        <v>79</v>
      </c>
      <c r="C130" s="6">
        <v>75</v>
      </c>
    </row>
    <row r="131" spans="1:3" x14ac:dyDescent="0.25">
      <c r="A131" s="6">
        <v>88</v>
      </c>
      <c r="B131" s="6">
        <v>78</v>
      </c>
      <c r="C131" s="6">
        <v>73</v>
      </c>
    </row>
    <row r="132" spans="1:3" x14ac:dyDescent="0.25">
      <c r="A132" s="6">
        <v>87</v>
      </c>
      <c r="B132" s="6">
        <v>86</v>
      </c>
      <c r="C132" s="6">
        <v>87</v>
      </c>
    </row>
    <row r="133" spans="1:3" x14ac:dyDescent="0.25">
      <c r="A133" s="6">
        <v>87</v>
      </c>
      <c r="B133" s="6">
        <v>85</v>
      </c>
      <c r="C133" s="6">
        <v>85</v>
      </c>
    </row>
    <row r="134" spans="1:3" x14ac:dyDescent="0.25">
      <c r="A134" s="6">
        <v>87</v>
      </c>
      <c r="B134" s="6">
        <v>84</v>
      </c>
      <c r="C134" s="6">
        <v>84</v>
      </c>
    </row>
    <row r="135" spans="1:3" x14ac:dyDescent="0.25">
      <c r="A135" s="6">
        <v>87</v>
      </c>
      <c r="B135" s="6">
        <v>83</v>
      </c>
      <c r="C135" s="6">
        <v>82</v>
      </c>
    </row>
    <row r="136" spans="1:3" x14ac:dyDescent="0.25">
      <c r="A136" s="6">
        <v>87</v>
      </c>
      <c r="B136" s="6">
        <v>82</v>
      </c>
      <c r="C136" s="6">
        <v>80</v>
      </c>
    </row>
    <row r="137" spans="1:3" x14ac:dyDescent="0.25">
      <c r="A137" s="6">
        <v>87</v>
      </c>
      <c r="B137" s="6">
        <v>81</v>
      </c>
      <c r="C137" s="6">
        <v>79</v>
      </c>
    </row>
    <row r="138" spans="1:3" x14ac:dyDescent="0.25">
      <c r="A138" s="6">
        <v>87</v>
      </c>
      <c r="B138" s="6">
        <v>80</v>
      </c>
      <c r="C138" s="6">
        <v>77</v>
      </c>
    </row>
    <row r="139" spans="1:3" x14ac:dyDescent="0.25">
      <c r="A139" s="6">
        <v>87</v>
      </c>
      <c r="B139" s="6">
        <v>79</v>
      </c>
      <c r="C139" s="6">
        <v>75</v>
      </c>
    </row>
    <row r="140" spans="1:3" x14ac:dyDescent="0.25">
      <c r="A140" s="6">
        <v>87</v>
      </c>
      <c r="B140" s="6">
        <v>78</v>
      </c>
      <c r="C140" s="6">
        <v>74</v>
      </c>
    </row>
    <row r="141" spans="1:3" x14ac:dyDescent="0.25">
      <c r="A141" s="6">
        <v>87</v>
      </c>
      <c r="B141" s="6">
        <v>77</v>
      </c>
      <c r="C141" s="6">
        <v>72</v>
      </c>
    </row>
    <row r="142" spans="1:3" x14ac:dyDescent="0.25">
      <c r="A142" s="6">
        <v>86</v>
      </c>
      <c r="B142" s="6">
        <v>85</v>
      </c>
      <c r="C142" s="6">
        <v>86</v>
      </c>
    </row>
    <row r="143" spans="1:3" x14ac:dyDescent="0.25">
      <c r="A143" s="6">
        <v>86</v>
      </c>
      <c r="B143" s="6">
        <v>84</v>
      </c>
      <c r="C143" s="6">
        <v>84</v>
      </c>
    </row>
    <row r="144" spans="1:3" x14ac:dyDescent="0.25">
      <c r="A144" s="6">
        <v>86</v>
      </c>
      <c r="B144" s="6">
        <v>83</v>
      </c>
      <c r="C144" s="6">
        <v>83</v>
      </c>
    </row>
    <row r="145" spans="1:3" x14ac:dyDescent="0.25">
      <c r="A145" s="6">
        <v>86</v>
      </c>
      <c r="B145" s="6">
        <v>82</v>
      </c>
      <c r="C145" s="6">
        <v>81</v>
      </c>
    </row>
    <row r="146" spans="1:3" x14ac:dyDescent="0.25">
      <c r="A146" s="6">
        <v>86</v>
      </c>
      <c r="B146" s="6">
        <v>81</v>
      </c>
      <c r="C146" s="6">
        <v>79</v>
      </c>
    </row>
    <row r="147" spans="1:3" x14ac:dyDescent="0.25">
      <c r="A147" s="6">
        <v>86</v>
      </c>
      <c r="B147" s="6">
        <v>80</v>
      </c>
      <c r="C147" s="6">
        <v>78</v>
      </c>
    </row>
    <row r="148" spans="1:3" x14ac:dyDescent="0.25">
      <c r="A148" s="6">
        <v>86</v>
      </c>
      <c r="B148" s="6">
        <v>79</v>
      </c>
      <c r="C148" s="6">
        <v>76</v>
      </c>
    </row>
    <row r="149" spans="1:3" x14ac:dyDescent="0.25">
      <c r="A149" s="6">
        <v>86</v>
      </c>
      <c r="B149" s="6">
        <v>78</v>
      </c>
      <c r="C149" s="6">
        <v>74</v>
      </c>
    </row>
    <row r="150" spans="1:3" x14ac:dyDescent="0.25">
      <c r="A150" s="6">
        <v>86</v>
      </c>
      <c r="B150" s="6">
        <v>77</v>
      </c>
      <c r="C150" s="6">
        <v>73</v>
      </c>
    </row>
    <row r="151" spans="1:3" x14ac:dyDescent="0.25">
      <c r="A151" s="6">
        <v>86</v>
      </c>
      <c r="B151" s="6">
        <v>76</v>
      </c>
      <c r="C151" s="6">
        <v>71</v>
      </c>
    </row>
    <row r="152" spans="1:3" x14ac:dyDescent="0.25">
      <c r="A152" s="6">
        <v>85</v>
      </c>
      <c r="B152" s="6">
        <v>84</v>
      </c>
      <c r="C152" s="6">
        <v>85</v>
      </c>
    </row>
    <row r="153" spans="1:3" x14ac:dyDescent="0.25">
      <c r="A153" s="6">
        <v>85</v>
      </c>
      <c r="B153" s="6">
        <v>83</v>
      </c>
      <c r="C153" s="6">
        <v>83</v>
      </c>
    </row>
    <row r="154" spans="1:3" x14ac:dyDescent="0.25">
      <c r="A154" s="6">
        <v>85</v>
      </c>
      <c r="B154" s="6">
        <v>82</v>
      </c>
      <c r="C154" s="6">
        <v>81</v>
      </c>
    </row>
    <row r="155" spans="1:3" x14ac:dyDescent="0.25">
      <c r="A155" s="6">
        <v>85</v>
      </c>
      <c r="B155" s="6">
        <v>81</v>
      </c>
      <c r="C155" s="6">
        <v>80</v>
      </c>
    </row>
    <row r="156" spans="1:3" x14ac:dyDescent="0.25">
      <c r="A156" s="6">
        <v>85</v>
      </c>
      <c r="B156" s="6">
        <v>80</v>
      </c>
      <c r="C156" s="6">
        <v>78</v>
      </c>
    </row>
    <row r="157" spans="1:3" x14ac:dyDescent="0.25">
      <c r="A157" s="6">
        <v>85</v>
      </c>
      <c r="B157" s="6">
        <v>79</v>
      </c>
      <c r="C157" s="6">
        <v>77</v>
      </c>
    </row>
    <row r="158" spans="1:3" x14ac:dyDescent="0.25">
      <c r="A158" s="6">
        <v>85</v>
      </c>
      <c r="B158" s="6">
        <v>78</v>
      </c>
      <c r="C158" s="6">
        <v>75</v>
      </c>
    </row>
    <row r="159" spans="1:3" x14ac:dyDescent="0.25">
      <c r="A159" s="6">
        <v>85</v>
      </c>
      <c r="B159" s="6">
        <v>77</v>
      </c>
      <c r="C159" s="6">
        <v>73</v>
      </c>
    </row>
    <row r="160" spans="1:3" x14ac:dyDescent="0.25">
      <c r="A160" s="6">
        <v>85</v>
      </c>
      <c r="B160" s="6">
        <v>76</v>
      </c>
      <c r="C160" s="6">
        <v>72</v>
      </c>
    </row>
    <row r="161" spans="1:3" x14ac:dyDescent="0.25">
      <c r="A161" s="6">
        <v>85</v>
      </c>
      <c r="B161" s="6">
        <v>75</v>
      </c>
      <c r="C161" s="6">
        <v>70</v>
      </c>
    </row>
    <row r="162" spans="1:3" x14ac:dyDescent="0.25">
      <c r="A162" s="6">
        <v>84</v>
      </c>
      <c r="B162" s="6">
        <v>83</v>
      </c>
      <c r="C162" s="6">
        <v>84</v>
      </c>
    </row>
    <row r="163" spans="1:3" x14ac:dyDescent="0.25">
      <c r="A163" s="6">
        <v>84</v>
      </c>
      <c r="B163" s="6">
        <v>82</v>
      </c>
      <c r="C163" s="6">
        <v>82</v>
      </c>
    </row>
    <row r="164" spans="1:3" x14ac:dyDescent="0.25">
      <c r="A164" s="6">
        <v>84</v>
      </c>
      <c r="B164" s="6">
        <v>81</v>
      </c>
      <c r="C164" s="6">
        <v>80</v>
      </c>
    </row>
    <row r="165" spans="1:3" x14ac:dyDescent="0.25">
      <c r="A165" s="6">
        <v>84</v>
      </c>
      <c r="B165" s="6">
        <v>80</v>
      </c>
      <c r="C165" s="6">
        <v>79</v>
      </c>
    </row>
    <row r="166" spans="1:3" x14ac:dyDescent="0.25">
      <c r="A166" s="6">
        <v>84</v>
      </c>
      <c r="B166" s="6">
        <v>79</v>
      </c>
      <c r="C166" s="6">
        <v>77</v>
      </c>
    </row>
    <row r="167" spans="1:3" x14ac:dyDescent="0.25">
      <c r="A167" s="6">
        <v>84</v>
      </c>
      <c r="B167" s="6">
        <v>78</v>
      </c>
      <c r="C167" s="6">
        <v>75</v>
      </c>
    </row>
    <row r="168" spans="1:3" x14ac:dyDescent="0.25">
      <c r="A168" s="6">
        <v>84</v>
      </c>
      <c r="B168" s="6">
        <v>77</v>
      </c>
      <c r="C168" s="6">
        <v>74</v>
      </c>
    </row>
    <row r="169" spans="1:3" x14ac:dyDescent="0.25">
      <c r="A169" s="6">
        <v>84</v>
      </c>
      <c r="B169" s="6">
        <v>76</v>
      </c>
      <c r="C169" s="6">
        <v>72</v>
      </c>
    </row>
    <row r="170" spans="1:3" x14ac:dyDescent="0.25">
      <c r="A170" s="6">
        <v>84</v>
      </c>
      <c r="B170" s="6">
        <v>75</v>
      </c>
      <c r="C170" s="6">
        <v>71</v>
      </c>
    </row>
    <row r="171" spans="1:3" x14ac:dyDescent="0.25">
      <c r="A171" s="6">
        <v>84</v>
      </c>
      <c r="B171" s="6">
        <v>74</v>
      </c>
      <c r="C171" s="6">
        <v>69</v>
      </c>
    </row>
    <row r="172" spans="1:3" x14ac:dyDescent="0.25">
      <c r="A172" s="6">
        <v>83</v>
      </c>
      <c r="B172" s="6">
        <v>82</v>
      </c>
      <c r="C172" s="6">
        <v>83</v>
      </c>
    </row>
    <row r="173" spans="1:3" x14ac:dyDescent="0.25">
      <c r="A173" s="6">
        <v>83</v>
      </c>
      <c r="B173" s="6">
        <v>81</v>
      </c>
      <c r="C173" s="6">
        <v>81</v>
      </c>
    </row>
    <row r="174" spans="1:3" x14ac:dyDescent="0.25">
      <c r="A174" s="6">
        <v>83</v>
      </c>
      <c r="B174" s="6">
        <v>80</v>
      </c>
      <c r="C174" s="6">
        <v>79</v>
      </c>
    </row>
    <row r="175" spans="1:3" x14ac:dyDescent="0.25">
      <c r="A175" s="6">
        <v>83</v>
      </c>
      <c r="B175" s="6">
        <v>79</v>
      </c>
      <c r="C175" s="6">
        <v>78</v>
      </c>
    </row>
    <row r="176" spans="1:3" x14ac:dyDescent="0.25">
      <c r="A176" s="6">
        <v>83</v>
      </c>
      <c r="B176" s="6">
        <v>78</v>
      </c>
      <c r="C176" s="6">
        <v>76</v>
      </c>
    </row>
    <row r="177" spans="1:3" x14ac:dyDescent="0.25">
      <c r="A177" s="6">
        <v>83</v>
      </c>
      <c r="B177" s="6">
        <v>77</v>
      </c>
      <c r="C177" s="6">
        <v>74</v>
      </c>
    </row>
    <row r="178" spans="1:3" x14ac:dyDescent="0.25">
      <c r="A178" s="6">
        <v>83</v>
      </c>
      <c r="B178" s="6">
        <v>76</v>
      </c>
      <c r="C178" s="6">
        <v>73</v>
      </c>
    </row>
    <row r="179" spans="1:3" x14ac:dyDescent="0.25">
      <c r="A179" s="6">
        <v>83</v>
      </c>
      <c r="B179" s="6">
        <v>75</v>
      </c>
      <c r="C179" s="6">
        <v>71</v>
      </c>
    </row>
    <row r="180" spans="1:3" x14ac:dyDescent="0.25">
      <c r="A180" s="6">
        <v>83</v>
      </c>
      <c r="B180" s="6">
        <v>74</v>
      </c>
      <c r="C180" s="6">
        <v>69</v>
      </c>
    </row>
    <row r="181" spans="1:3" x14ac:dyDescent="0.25">
      <c r="A181" s="6">
        <v>83</v>
      </c>
      <c r="B181" s="6">
        <v>73</v>
      </c>
      <c r="C181" s="6">
        <v>68</v>
      </c>
    </row>
    <row r="182" spans="1:3" x14ac:dyDescent="0.25">
      <c r="A182" s="6">
        <v>82</v>
      </c>
      <c r="B182" s="6">
        <v>81</v>
      </c>
      <c r="C182" s="6">
        <v>82</v>
      </c>
    </row>
    <row r="183" spans="1:3" x14ac:dyDescent="0.25">
      <c r="A183" s="6">
        <v>82</v>
      </c>
      <c r="B183" s="6">
        <v>80</v>
      </c>
      <c r="C183" s="6">
        <v>80</v>
      </c>
    </row>
    <row r="184" spans="1:3" x14ac:dyDescent="0.25">
      <c r="A184" s="6">
        <v>82</v>
      </c>
      <c r="B184" s="6">
        <v>79</v>
      </c>
      <c r="C184" s="6">
        <v>78</v>
      </c>
    </row>
    <row r="185" spans="1:3" x14ac:dyDescent="0.25">
      <c r="A185" s="6">
        <v>82</v>
      </c>
      <c r="B185" s="6">
        <v>78</v>
      </c>
      <c r="C185" s="6">
        <v>77</v>
      </c>
    </row>
    <row r="186" spans="1:3" x14ac:dyDescent="0.25">
      <c r="A186" s="6">
        <v>82</v>
      </c>
      <c r="B186" s="6">
        <v>77</v>
      </c>
      <c r="C186" s="6">
        <v>75</v>
      </c>
    </row>
    <row r="187" spans="1:3" x14ac:dyDescent="0.25">
      <c r="A187" s="6">
        <v>82</v>
      </c>
      <c r="B187" s="6">
        <v>76</v>
      </c>
      <c r="C187" s="6">
        <v>73</v>
      </c>
    </row>
    <row r="188" spans="1:3" x14ac:dyDescent="0.25">
      <c r="A188" s="6">
        <v>82</v>
      </c>
      <c r="B188" s="6">
        <v>75</v>
      </c>
      <c r="C188" s="6">
        <v>72</v>
      </c>
    </row>
    <row r="189" spans="1:3" x14ac:dyDescent="0.25">
      <c r="A189" s="6">
        <v>82</v>
      </c>
      <c r="B189" s="6">
        <v>74</v>
      </c>
      <c r="C189" s="6">
        <v>70</v>
      </c>
    </row>
    <row r="190" spans="1:3" x14ac:dyDescent="0.25">
      <c r="A190" s="6">
        <v>82</v>
      </c>
      <c r="B190" s="6">
        <v>73</v>
      </c>
      <c r="C190" s="6">
        <v>68</v>
      </c>
    </row>
    <row r="191" spans="1:3" x14ac:dyDescent="0.25">
      <c r="A191" s="6">
        <v>82</v>
      </c>
      <c r="B191" s="6">
        <v>72</v>
      </c>
      <c r="C191" s="6">
        <v>67</v>
      </c>
    </row>
    <row r="192" spans="1:3" x14ac:dyDescent="0.25">
      <c r="A192" s="6">
        <v>81</v>
      </c>
      <c r="B192" s="6">
        <v>80</v>
      </c>
      <c r="C192" s="6">
        <v>81</v>
      </c>
    </row>
    <row r="193" spans="1:3" x14ac:dyDescent="0.25">
      <c r="A193" s="6">
        <v>81</v>
      </c>
      <c r="B193" s="6">
        <v>79</v>
      </c>
      <c r="C193" s="6">
        <v>79</v>
      </c>
    </row>
    <row r="194" spans="1:3" x14ac:dyDescent="0.25">
      <c r="A194" s="6">
        <v>81</v>
      </c>
      <c r="B194" s="6">
        <v>78</v>
      </c>
      <c r="C194" s="6">
        <v>77</v>
      </c>
    </row>
    <row r="195" spans="1:3" x14ac:dyDescent="0.25">
      <c r="A195" s="6">
        <v>81</v>
      </c>
      <c r="B195" s="6">
        <v>77</v>
      </c>
      <c r="C195" s="6">
        <v>76</v>
      </c>
    </row>
    <row r="196" spans="1:3" x14ac:dyDescent="0.25">
      <c r="A196" s="6">
        <v>81</v>
      </c>
      <c r="B196" s="6">
        <v>76</v>
      </c>
      <c r="C196" s="6">
        <v>74</v>
      </c>
    </row>
    <row r="197" spans="1:3" x14ac:dyDescent="0.25">
      <c r="A197" s="6">
        <v>81</v>
      </c>
      <c r="B197" s="6">
        <v>75</v>
      </c>
      <c r="C197" s="6">
        <v>72</v>
      </c>
    </row>
    <row r="198" spans="1:3" x14ac:dyDescent="0.25">
      <c r="A198" s="6">
        <v>81</v>
      </c>
      <c r="B198" s="6">
        <v>74</v>
      </c>
      <c r="C198" s="6">
        <v>71</v>
      </c>
    </row>
    <row r="199" spans="1:3" x14ac:dyDescent="0.25">
      <c r="A199" s="6">
        <v>81</v>
      </c>
      <c r="B199" s="6">
        <v>73</v>
      </c>
      <c r="C199" s="6">
        <v>69</v>
      </c>
    </row>
    <row r="200" spans="1:3" x14ac:dyDescent="0.25">
      <c r="A200" s="6">
        <v>81</v>
      </c>
      <c r="B200" s="6">
        <v>72</v>
      </c>
      <c r="C200" s="6">
        <v>67</v>
      </c>
    </row>
    <row r="201" spans="1:3" x14ac:dyDescent="0.25">
      <c r="A201" s="6">
        <v>81</v>
      </c>
      <c r="B201" s="6">
        <v>71</v>
      </c>
      <c r="C201" s="6">
        <v>66</v>
      </c>
    </row>
    <row r="202" spans="1:3" x14ac:dyDescent="0.25">
      <c r="A202" s="6">
        <v>80</v>
      </c>
      <c r="B202" s="6">
        <v>79</v>
      </c>
      <c r="C202" s="6">
        <v>80</v>
      </c>
    </row>
    <row r="203" spans="1:3" x14ac:dyDescent="0.25">
      <c r="A203" s="6">
        <v>80</v>
      </c>
      <c r="B203" s="6">
        <v>78</v>
      </c>
      <c r="C203" s="6">
        <v>78</v>
      </c>
    </row>
    <row r="204" spans="1:3" x14ac:dyDescent="0.25">
      <c r="A204" s="6">
        <v>80</v>
      </c>
      <c r="B204" s="6">
        <v>77</v>
      </c>
      <c r="C204" s="6">
        <v>76</v>
      </c>
    </row>
    <row r="205" spans="1:3" x14ac:dyDescent="0.25">
      <c r="A205" s="6">
        <v>80</v>
      </c>
      <c r="B205" s="6">
        <v>76</v>
      </c>
      <c r="C205" s="6">
        <v>75</v>
      </c>
    </row>
    <row r="206" spans="1:3" x14ac:dyDescent="0.25">
      <c r="A206" s="6">
        <v>80</v>
      </c>
      <c r="B206" s="6">
        <v>75</v>
      </c>
      <c r="C206" s="6">
        <v>73</v>
      </c>
    </row>
    <row r="207" spans="1:3" x14ac:dyDescent="0.25">
      <c r="A207" s="6">
        <v>80</v>
      </c>
      <c r="B207" s="6">
        <v>74</v>
      </c>
      <c r="C207" s="6">
        <v>71</v>
      </c>
    </row>
    <row r="208" spans="1:3" x14ac:dyDescent="0.25">
      <c r="A208" s="6">
        <v>80</v>
      </c>
      <c r="B208" s="6">
        <v>73</v>
      </c>
      <c r="C208" s="6">
        <v>70</v>
      </c>
    </row>
    <row r="209" spans="1:3" x14ac:dyDescent="0.25">
      <c r="A209" s="6">
        <v>80</v>
      </c>
      <c r="B209" s="6">
        <v>72</v>
      </c>
      <c r="C209" s="6">
        <v>68</v>
      </c>
    </row>
    <row r="210" spans="1:3" x14ac:dyDescent="0.25">
      <c r="A210" s="6">
        <v>80</v>
      </c>
      <c r="B210" s="6">
        <v>71</v>
      </c>
      <c r="C210" s="6">
        <v>66</v>
      </c>
    </row>
    <row r="211" spans="1:3" x14ac:dyDescent="0.25">
      <c r="A211" s="6">
        <v>80</v>
      </c>
      <c r="B211" s="6">
        <v>70</v>
      </c>
      <c r="C211" s="6">
        <v>65</v>
      </c>
    </row>
    <row r="212" spans="1:3" x14ac:dyDescent="0.25">
      <c r="A212" s="6">
        <v>79</v>
      </c>
      <c r="B212" s="6">
        <v>78</v>
      </c>
      <c r="C212" s="6">
        <v>79</v>
      </c>
    </row>
    <row r="213" spans="1:3" x14ac:dyDescent="0.25">
      <c r="A213" s="6">
        <v>79</v>
      </c>
      <c r="B213" s="6">
        <v>77</v>
      </c>
      <c r="C213" s="6">
        <v>77</v>
      </c>
    </row>
    <row r="214" spans="1:3" x14ac:dyDescent="0.25">
      <c r="A214" s="6">
        <v>79</v>
      </c>
      <c r="B214" s="6">
        <v>76</v>
      </c>
      <c r="C214" s="6">
        <v>75</v>
      </c>
    </row>
    <row r="215" spans="1:3" x14ac:dyDescent="0.25">
      <c r="A215" s="6">
        <v>79</v>
      </c>
      <c r="B215" s="6">
        <v>75</v>
      </c>
      <c r="C215" s="6">
        <v>74</v>
      </c>
    </row>
    <row r="216" spans="1:3" x14ac:dyDescent="0.25">
      <c r="A216" s="6">
        <v>79</v>
      </c>
      <c r="B216" s="6">
        <v>74</v>
      </c>
      <c r="C216" s="6">
        <v>72</v>
      </c>
    </row>
    <row r="217" spans="1:3" x14ac:dyDescent="0.25">
      <c r="A217" s="6">
        <v>79</v>
      </c>
      <c r="B217" s="6">
        <v>73</v>
      </c>
      <c r="C217" s="6">
        <v>70</v>
      </c>
    </row>
    <row r="218" spans="1:3" x14ac:dyDescent="0.25">
      <c r="A218" s="6">
        <v>79</v>
      </c>
      <c r="B218" s="6">
        <v>72</v>
      </c>
      <c r="C218" s="6">
        <v>69</v>
      </c>
    </row>
    <row r="219" spans="1:3" x14ac:dyDescent="0.25">
      <c r="A219" s="6">
        <v>79</v>
      </c>
      <c r="B219" s="6">
        <v>71</v>
      </c>
      <c r="C219" s="6">
        <v>67</v>
      </c>
    </row>
    <row r="220" spans="1:3" x14ac:dyDescent="0.25">
      <c r="A220" s="6">
        <v>79</v>
      </c>
      <c r="B220" s="6">
        <v>70</v>
      </c>
      <c r="C220" s="6">
        <v>65</v>
      </c>
    </row>
    <row r="221" spans="1:3" x14ac:dyDescent="0.25">
      <c r="A221" s="6">
        <v>79</v>
      </c>
      <c r="B221" s="6">
        <v>69</v>
      </c>
      <c r="C221" s="6">
        <v>64</v>
      </c>
    </row>
    <row r="222" spans="1:3" x14ac:dyDescent="0.25">
      <c r="A222" s="6">
        <v>78</v>
      </c>
      <c r="B222" s="6">
        <v>77</v>
      </c>
      <c r="C222" s="6">
        <v>78</v>
      </c>
    </row>
    <row r="223" spans="1:3" x14ac:dyDescent="0.25">
      <c r="A223" s="6">
        <v>78</v>
      </c>
      <c r="B223" s="6">
        <v>76</v>
      </c>
      <c r="C223" s="6">
        <v>76</v>
      </c>
    </row>
    <row r="224" spans="1:3" x14ac:dyDescent="0.25">
      <c r="A224" s="6">
        <v>78</v>
      </c>
      <c r="B224" s="6">
        <v>75</v>
      </c>
      <c r="C224" s="6">
        <v>74</v>
      </c>
    </row>
    <row r="225" spans="1:3" x14ac:dyDescent="0.25">
      <c r="A225" s="6">
        <v>78</v>
      </c>
      <c r="B225" s="6">
        <v>74</v>
      </c>
      <c r="C225" s="6">
        <v>73</v>
      </c>
    </row>
    <row r="226" spans="1:3" x14ac:dyDescent="0.25">
      <c r="A226" s="6">
        <v>78</v>
      </c>
      <c r="B226" s="6">
        <v>73</v>
      </c>
      <c r="C226" s="6">
        <v>71</v>
      </c>
    </row>
    <row r="227" spans="1:3" x14ac:dyDescent="0.25">
      <c r="A227" s="6">
        <v>78</v>
      </c>
      <c r="B227" s="6">
        <v>72</v>
      </c>
      <c r="C227" s="6">
        <v>69</v>
      </c>
    </row>
    <row r="228" spans="1:3" x14ac:dyDescent="0.25">
      <c r="A228" s="6">
        <v>78</v>
      </c>
      <c r="B228" s="6">
        <v>71</v>
      </c>
      <c r="C228" s="6">
        <v>68</v>
      </c>
    </row>
    <row r="229" spans="1:3" x14ac:dyDescent="0.25">
      <c r="A229" s="6">
        <v>78</v>
      </c>
      <c r="B229" s="6">
        <v>70</v>
      </c>
      <c r="C229" s="6">
        <v>66</v>
      </c>
    </row>
    <row r="230" spans="1:3" x14ac:dyDescent="0.25">
      <c r="A230" s="6">
        <v>78</v>
      </c>
      <c r="B230" s="6">
        <v>69</v>
      </c>
      <c r="C230" s="6">
        <v>64</v>
      </c>
    </row>
    <row r="231" spans="1:3" x14ac:dyDescent="0.25">
      <c r="A231" s="6">
        <v>78</v>
      </c>
      <c r="B231" s="6">
        <v>68</v>
      </c>
      <c r="C231" s="6">
        <v>63</v>
      </c>
    </row>
    <row r="232" spans="1:3" x14ac:dyDescent="0.25">
      <c r="A232" s="6">
        <v>77</v>
      </c>
      <c r="B232" s="6">
        <v>76</v>
      </c>
      <c r="C232" s="6">
        <v>77</v>
      </c>
    </row>
    <row r="233" spans="1:3" x14ac:dyDescent="0.25">
      <c r="A233" s="6">
        <v>77</v>
      </c>
      <c r="B233" s="6">
        <v>75</v>
      </c>
      <c r="C233" s="6">
        <v>75</v>
      </c>
    </row>
    <row r="234" spans="1:3" x14ac:dyDescent="0.25">
      <c r="A234" s="6">
        <v>77</v>
      </c>
      <c r="B234" s="6">
        <v>74</v>
      </c>
      <c r="C234" s="6">
        <v>73</v>
      </c>
    </row>
    <row r="235" spans="1:3" x14ac:dyDescent="0.25">
      <c r="A235" s="6">
        <v>77</v>
      </c>
      <c r="B235" s="6">
        <v>73</v>
      </c>
      <c r="C235" s="6">
        <v>72</v>
      </c>
    </row>
    <row r="236" spans="1:3" x14ac:dyDescent="0.25">
      <c r="A236" s="6">
        <v>77</v>
      </c>
      <c r="B236" s="6">
        <v>72</v>
      </c>
      <c r="C236" s="6">
        <v>70</v>
      </c>
    </row>
    <row r="237" spans="1:3" x14ac:dyDescent="0.25">
      <c r="A237" s="6">
        <v>77</v>
      </c>
      <c r="B237" s="6">
        <v>71</v>
      </c>
      <c r="C237" s="6">
        <v>68</v>
      </c>
    </row>
    <row r="238" spans="1:3" x14ac:dyDescent="0.25">
      <c r="A238" s="6">
        <v>77</v>
      </c>
      <c r="B238" s="6">
        <v>70</v>
      </c>
      <c r="C238" s="6">
        <v>67</v>
      </c>
    </row>
    <row r="239" spans="1:3" x14ac:dyDescent="0.25">
      <c r="A239" s="6">
        <v>77</v>
      </c>
      <c r="B239" s="6">
        <v>69</v>
      </c>
      <c r="C239" s="6">
        <v>65</v>
      </c>
    </row>
    <row r="240" spans="1:3" x14ac:dyDescent="0.25">
      <c r="A240" s="6">
        <v>77</v>
      </c>
      <c r="B240" s="6">
        <v>68</v>
      </c>
      <c r="C240" s="6">
        <v>63</v>
      </c>
    </row>
    <row r="241" spans="1:3" x14ac:dyDescent="0.25">
      <c r="A241" s="6">
        <v>77</v>
      </c>
      <c r="B241" s="6">
        <v>67</v>
      </c>
      <c r="C241" s="6">
        <v>61</v>
      </c>
    </row>
    <row r="242" spans="1:3" x14ac:dyDescent="0.25">
      <c r="A242" s="6">
        <v>76</v>
      </c>
      <c r="B242" s="6">
        <v>75</v>
      </c>
      <c r="C242" s="6">
        <v>76</v>
      </c>
    </row>
    <row r="243" spans="1:3" x14ac:dyDescent="0.25">
      <c r="A243" s="6">
        <v>76</v>
      </c>
      <c r="B243" s="6">
        <v>74</v>
      </c>
      <c r="C243" s="6">
        <v>74</v>
      </c>
    </row>
    <row r="244" spans="1:3" x14ac:dyDescent="0.25">
      <c r="A244" s="6">
        <v>76</v>
      </c>
      <c r="B244" s="6">
        <v>73</v>
      </c>
      <c r="C244" s="6">
        <v>72</v>
      </c>
    </row>
    <row r="245" spans="1:3" x14ac:dyDescent="0.25">
      <c r="A245" s="6">
        <v>76</v>
      </c>
      <c r="B245" s="6">
        <v>72</v>
      </c>
      <c r="C245" s="6">
        <v>71</v>
      </c>
    </row>
    <row r="246" spans="1:3" x14ac:dyDescent="0.25">
      <c r="A246" s="6">
        <v>76</v>
      </c>
      <c r="B246" s="6">
        <v>71</v>
      </c>
      <c r="C246" s="6">
        <v>69</v>
      </c>
    </row>
    <row r="247" spans="1:3" x14ac:dyDescent="0.25">
      <c r="A247" s="6">
        <v>76</v>
      </c>
      <c r="B247" s="6">
        <v>70</v>
      </c>
      <c r="C247" s="6">
        <v>67</v>
      </c>
    </row>
    <row r="248" spans="1:3" x14ac:dyDescent="0.25">
      <c r="A248" s="6">
        <v>76</v>
      </c>
      <c r="B248" s="6">
        <v>69</v>
      </c>
      <c r="C248" s="6">
        <v>65</v>
      </c>
    </row>
    <row r="249" spans="1:3" x14ac:dyDescent="0.25">
      <c r="A249" s="6">
        <v>76</v>
      </c>
      <c r="B249" s="6">
        <v>68</v>
      </c>
      <c r="C249" s="6">
        <v>64</v>
      </c>
    </row>
    <row r="250" spans="1:3" x14ac:dyDescent="0.25">
      <c r="A250" s="6">
        <v>76</v>
      </c>
      <c r="B250" s="6">
        <v>67</v>
      </c>
      <c r="C250" s="6">
        <v>62</v>
      </c>
    </row>
    <row r="251" spans="1:3" x14ac:dyDescent="0.25">
      <c r="A251" s="6">
        <v>76</v>
      </c>
      <c r="B251" s="6">
        <v>66</v>
      </c>
      <c r="C251" s="6">
        <v>60</v>
      </c>
    </row>
    <row r="252" spans="1:3" x14ac:dyDescent="0.25">
      <c r="A252" s="6">
        <v>75</v>
      </c>
      <c r="B252" s="6">
        <v>74</v>
      </c>
      <c r="C252" s="6">
        <v>75</v>
      </c>
    </row>
    <row r="253" spans="1:3" x14ac:dyDescent="0.25">
      <c r="A253" s="6">
        <v>75</v>
      </c>
      <c r="B253" s="6">
        <v>73</v>
      </c>
      <c r="C253" s="6">
        <v>73</v>
      </c>
    </row>
    <row r="254" spans="1:3" x14ac:dyDescent="0.25">
      <c r="A254" s="6">
        <v>75</v>
      </c>
      <c r="B254" s="6">
        <v>72</v>
      </c>
      <c r="C254" s="6">
        <v>71</v>
      </c>
    </row>
    <row r="255" spans="1:3" x14ac:dyDescent="0.25">
      <c r="A255" s="6">
        <v>75</v>
      </c>
      <c r="B255" s="6">
        <v>71</v>
      </c>
      <c r="C255" s="6">
        <v>70</v>
      </c>
    </row>
    <row r="256" spans="1:3" x14ac:dyDescent="0.25">
      <c r="A256" s="6">
        <v>75</v>
      </c>
      <c r="B256" s="6">
        <v>70</v>
      </c>
      <c r="C256" s="6">
        <v>68</v>
      </c>
    </row>
    <row r="257" spans="1:3" x14ac:dyDescent="0.25">
      <c r="A257" s="6">
        <v>75</v>
      </c>
      <c r="B257" s="6">
        <v>69</v>
      </c>
      <c r="C257" s="6">
        <v>66</v>
      </c>
    </row>
    <row r="258" spans="1:3" x14ac:dyDescent="0.25">
      <c r="A258" s="6">
        <v>75</v>
      </c>
      <c r="B258" s="6">
        <v>68</v>
      </c>
      <c r="C258" s="6">
        <v>64</v>
      </c>
    </row>
    <row r="259" spans="1:3" x14ac:dyDescent="0.25">
      <c r="A259" s="6">
        <v>75</v>
      </c>
      <c r="B259" s="6">
        <v>67</v>
      </c>
      <c r="C259" s="6">
        <v>63</v>
      </c>
    </row>
    <row r="260" spans="1:3" x14ac:dyDescent="0.25">
      <c r="A260" s="6">
        <v>75</v>
      </c>
      <c r="B260" s="6">
        <v>66</v>
      </c>
      <c r="C260" s="6">
        <v>61</v>
      </c>
    </row>
    <row r="261" spans="1:3" x14ac:dyDescent="0.25">
      <c r="A261" s="6">
        <v>75</v>
      </c>
      <c r="B261" s="6">
        <v>65</v>
      </c>
      <c r="C261" s="6">
        <v>59</v>
      </c>
    </row>
    <row r="262" spans="1:3" x14ac:dyDescent="0.25">
      <c r="A262" s="6">
        <v>74</v>
      </c>
      <c r="B262" s="6">
        <v>73</v>
      </c>
      <c r="C262" s="6">
        <v>74</v>
      </c>
    </row>
    <row r="263" spans="1:3" x14ac:dyDescent="0.25">
      <c r="A263" s="6">
        <v>74</v>
      </c>
      <c r="B263" s="6">
        <v>72</v>
      </c>
      <c r="C263" s="6">
        <v>72</v>
      </c>
    </row>
    <row r="264" spans="1:3" x14ac:dyDescent="0.25">
      <c r="A264" s="6">
        <v>74</v>
      </c>
      <c r="B264" s="6">
        <v>71</v>
      </c>
      <c r="C264" s="6">
        <v>70</v>
      </c>
    </row>
    <row r="265" spans="1:3" x14ac:dyDescent="0.25">
      <c r="A265" s="6">
        <v>74</v>
      </c>
      <c r="B265" s="6">
        <v>70</v>
      </c>
      <c r="C265" s="6">
        <v>69</v>
      </c>
    </row>
    <row r="266" spans="1:3" x14ac:dyDescent="0.25">
      <c r="A266" s="6">
        <v>74</v>
      </c>
      <c r="B266" s="6">
        <v>69</v>
      </c>
      <c r="C266" s="6">
        <v>67</v>
      </c>
    </row>
    <row r="267" spans="1:3" x14ac:dyDescent="0.25">
      <c r="A267" s="6">
        <v>74</v>
      </c>
      <c r="B267" s="6">
        <v>68</v>
      </c>
      <c r="C267" s="6">
        <v>65</v>
      </c>
    </row>
    <row r="268" spans="1:3" x14ac:dyDescent="0.25">
      <c r="A268" s="6">
        <v>74</v>
      </c>
      <c r="B268" s="6">
        <v>67</v>
      </c>
      <c r="C268" s="6">
        <v>63</v>
      </c>
    </row>
    <row r="269" spans="1:3" x14ac:dyDescent="0.25">
      <c r="A269" s="6">
        <v>74</v>
      </c>
      <c r="B269" s="6">
        <v>66</v>
      </c>
      <c r="C269" s="6">
        <v>62</v>
      </c>
    </row>
    <row r="270" spans="1:3" x14ac:dyDescent="0.25">
      <c r="A270" s="6">
        <v>74</v>
      </c>
      <c r="B270" s="6">
        <v>65</v>
      </c>
      <c r="C270" s="6">
        <v>60</v>
      </c>
    </row>
    <row r="271" spans="1:3" x14ac:dyDescent="0.25">
      <c r="A271" s="6">
        <v>74</v>
      </c>
      <c r="B271" s="6">
        <v>64</v>
      </c>
      <c r="C271" s="6">
        <v>58</v>
      </c>
    </row>
    <row r="272" spans="1:3" x14ac:dyDescent="0.25">
      <c r="A272" s="6">
        <v>73</v>
      </c>
      <c r="B272" s="6">
        <v>72</v>
      </c>
      <c r="C272" s="6">
        <v>73</v>
      </c>
    </row>
    <row r="273" spans="1:3" x14ac:dyDescent="0.25">
      <c r="A273" s="6">
        <v>73</v>
      </c>
      <c r="B273" s="6">
        <v>71</v>
      </c>
      <c r="C273" s="6">
        <v>71</v>
      </c>
    </row>
    <row r="274" spans="1:3" x14ac:dyDescent="0.25">
      <c r="A274" s="6">
        <v>73</v>
      </c>
      <c r="B274" s="6">
        <v>70</v>
      </c>
      <c r="C274" s="6">
        <v>69</v>
      </c>
    </row>
    <row r="275" spans="1:3" x14ac:dyDescent="0.25">
      <c r="A275" s="6">
        <v>73</v>
      </c>
      <c r="B275" s="6">
        <v>69</v>
      </c>
      <c r="C275" s="6">
        <v>67</v>
      </c>
    </row>
    <row r="276" spans="1:3" x14ac:dyDescent="0.25">
      <c r="A276" s="6">
        <v>73</v>
      </c>
      <c r="B276" s="6">
        <v>68</v>
      </c>
      <c r="C276" s="6">
        <v>66</v>
      </c>
    </row>
    <row r="277" spans="1:3" x14ac:dyDescent="0.25">
      <c r="A277" s="6">
        <v>73</v>
      </c>
      <c r="B277" s="6">
        <v>67</v>
      </c>
      <c r="C277" s="6">
        <v>64</v>
      </c>
    </row>
    <row r="278" spans="1:3" x14ac:dyDescent="0.25">
      <c r="A278" s="6">
        <v>73</v>
      </c>
      <c r="B278" s="6">
        <v>66</v>
      </c>
      <c r="C278" s="6">
        <v>62</v>
      </c>
    </row>
    <row r="279" spans="1:3" x14ac:dyDescent="0.25">
      <c r="A279" s="6">
        <v>73</v>
      </c>
      <c r="B279" s="6">
        <v>65</v>
      </c>
      <c r="C279" s="6">
        <v>61</v>
      </c>
    </row>
    <row r="280" spans="1:3" x14ac:dyDescent="0.25">
      <c r="A280" s="6">
        <v>73</v>
      </c>
      <c r="B280" s="6">
        <v>64</v>
      </c>
      <c r="C280" s="6">
        <v>59</v>
      </c>
    </row>
    <row r="281" spans="1:3" x14ac:dyDescent="0.25">
      <c r="A281" s="6">
        <v>73</v>
      </c>
      <c r="B281" s="6">
        <v>63</v>
      </c>
      <c r="C281" s="6">
        <v>57</v>
      </c>
    </row>
    <row r="282" spans="1:3" x14ac:dyDescent="0.25">
      <c r="A282" s="6">
        <v>72</v>
      </c>
      <c r="B282" s="6">
        <v>71</v>
      </c>
      <c r="C282" s="6">
        <v>72</v>
      </c>
    </row>
    <row r="283" spans="1:3" x14ac:dyDescent="0.25">
      <c r="A283" s="6">
        <v>72</v>
      </c>
      <c r="B283" s="6">
        <v>70</v>
      </c>
      <c r="C283" s="6">
        <v>70</v>
      </c>
    </row>
    <row r="284" spans="1:3" x14ac:dyDescent="0.25">
      <c r="A284" s="6">
        <v>72</v>
      </c>
      <c r="B284" s="6">
        <v>69</v>
      </c>
      <c r="C284" s="6">
        <v>68</v>
      </c>
    </row>
    <row r="285" spans="1:3" x14ac:dyDescent="0.25">
      <c r="A285" s="6">
        <v>72</v>
      </c>
      <c r="B285" s="6">
        <v>68</v>
      </c>
      <c r="C285" s="6">
        <v>66</v>
      </c>
    </row>
    <row r="286" spans="1:3" x14ac:dyDescent="0.25">
      <c r="A286" s="6">
        <v>72</v>
      </c>
      <c r="B286" s="6">
        <v>67</v>
      </c>
      <c r="C286" s="6">
        <v>65</v>
      </c>
    </row>
    <row r="287" spans="1:3" x14ac:dyDescent="0.25">
      <c r="A287" s="6">
        <v>72</v>
      </c>
      <c r="B287" s="6">
        <v>66</v>
      </c>
      <c r="C287" s="6">
        <v>63</v>
      </c>
    </row>
    <row r="288" spans="1:3" x14ac:dyDescent="0.25">
      <c r="A288" s="6">
        <v>72</v>
      </c>
      <c r="B288" s="6">
        <v>65</v>
      </c>
      <c r="C288" s="6">
        <v>61</v>
      </c>
    </row>
    <row r="289" spans="1:3" x14ac:dyDescent="0.25">
      <c r="A289" s="6">
        <v>72</v>
      </c>
      <c r="B289" s="6">
        <v>64</v>
      </c>
      <c r="C289" s="6">
        <v>59</v>
      </c>
    </row>
    <row r="290" spans="1:3" x14ac:dyDescent="0.25">
      <c r="A290" s="6">
        <v>72</v>
      </c>
      <c r="B290" s="6">
        <v>63</v>
      </c>
      <c r="C290" s="6">
        <v>58</v>
      </c>
    </row>
    <row r="291" spans="1:3" x14ac:dyDescent="0.25">
      <c r="A291" s="6">
        <v>72</v>
      </c>
      <c r="B291" s="6">
        <v>62</v>
      </c>
      <c r="C291" s="6">
        <v>56</v>
      </c>
    </row>
    <row r="292" spans="1:3" x14ac:dyDescent="0.25">
      <c r="A292" s="6">
        <v>71</v>
      </c>
      <c r="B292" s="6">
        <v>70</v>
      </c>
      <c r="C292" s="6">
        <v>71</v>
      </c>
    </row>
    <row r="293" spans="1:3" x14ac:dyDescent="0.25">
      <c r="A293" s="6">
        <v>71</v>
      </c>
      <c r="B293" s="6">
        <v>69</v>
      </c>
      <c r="C293" s="6">
        <v>69</v>
      </c>
    </row>
    <row r="294" spans="1:3" x14ac:dyDescent="0.25">
      <c r="A294" s="6">
        <v>71</v>
      </c>
      <c r="B294" s="6">
        <v>68</v>
      </c>
      <c r="C294" s="6">
        <v>67</v>
      </c>
    </row>
    <row r="295" spans="1:3" x14ac:dyDescent="0.25">
      <c r="A295" s="6">
        <v>71</v>
      </c>
      <c r="B295" s="6">
        <v>67</v>
      </c>
      <c r="C295" s="6">
        <v>65</v>
      </c>
    </row>
    <row r="296" spans="1:3" x14ac:dyDescent="0.25">
      <c r="A296" s="6">
        <v>71</v>
      </c>
      <c r="B296" s="6">
        <v>66</v>
      </c>
      <c r="C296" s="6">
        <v>64</v>
      </c>
    </row>
    <row r="297" spans="1:3" x14ac:dyDescent="0.25">
      <c r="A297" s="6">
        <v>71</v>
      </c>
      <c r="B297" s="6">
        <v>65</v>
      </c>
      <c r="C297" s="6">
        <v>62</v>
      </c>
    </row>
    <row r="298" spans="1:3" x14ac:dyDescent="0.25">
      <c r="A298" s="6">
        <v>71</v>
      </c>
      <c r="B298" s="6">
        <v>64</v>
      </c>
      <c r="C298" s="6">
        <v>60</v>
      </c>
    </row>
    <row r="299" spans="1:3" x14ac:dyDescent="0.25">
      <c r="A299" s="6">
        <v>71</v>
      </c>
      <c r="B299" s="6">
        <v>63</v>
      </c>
      <c r="C299" s="6">
        <v>58</v>
      </c>
    </row>
    <row r="300" spans="1:3" x14ac:dyDescent="0.25">
      <c r="A300" s="6">
        <v>71</v>
      </c>
      <c r="B300" s="6">
        <v>62</v>
      </c>
      <c r="C300" s="6">
        <v>57</v>
      </c>
    </row>
    <row r="301" spans="1:3" x14ac:dyDescent="0.25">
      <c r="A301" s="6">
        <v>71</v>
      </c>
      <c r="B301" s="6">
        <v>61</v>
      </c>
      <c r="C301" s="6">
        <v>55</v>
      </c>
    </row>
    <row r="302" spans="1:3" x14ac:dyDescent="0.25">
      <c r="A302" s="6">
        <v>70</v>
      </c>
      <c r="B302" s="6">
        <v>69</v>
      </c>
      <c r="C302" s="6">
        <v>70</v>
      </c>
    </row>
    <row r="303" spans="1:3" x14ac:dyDescent="0.25">
      <c r="A303" s="6">
        <v>70</v>
      </c>
      <c r="B303" s="6">
        <v>68</v>
      </c>
      <c r="C303" s="6">
        <v>68</v>
      </c>
    </row>
    <row r="304" spans="1:3" x14ac:dyDescent="0.25">
      <c r="A304" s="6">
        <v>70</v>
      </c>
      <c r="B304" s="6">
        <v>67</v>
      </c>
      <c r="C304" s="6">
        <v>66</v>
      </c>
    </row>
    <row r="305" spans="1:3" x14ac:dyDescent="0.25">
      <c r="A305" s="6">
        <v>70</v>
      </c>
      <c r="B305" s="6">
        <v>66</v>
      </c>
      <c r="C305" s="6">
        <v>64</v>
      </c>
    </row>
    <row r="306" spans="1:3" x14ac:dyDescent="0.25">
      <c r="A306" s="6">
        <v>70</v>
      </c>
      <c r="B306" s="6">
        <v>65</v>
      </c>
      <c r="C306" s="6">
        <v>63</v>
      </c>
    </row>
    <row r="307" spans="1:3" x14ac:dyDescent="0.25">
      <c r="A307" s="6">
        <v>70</v>
      </c>
      <c r="B307" s="6">
        <v>64</v>
      </c>
      <c r="C307" s="6">
        <v>61</v>
      </c>
    </row>
    <row r="308" spans="1:3" x14ac:dyDescent="0.25">
      <c r="A308" s="6">
        <v>70</v>
      </c>
      <c r="B308" s="6">
        <v>63</v>
      </c>
      <c r="C308" s="6">
        <v>59</v>
      </c>
    </row>
    <row r="309" spans="1:3" x14ac:dyDescent="0.25">
      <c r="A309" s="6">
        <v>70</v>
      </c>
      <c r="B309" s="6">
        <v>62</v>
      </c>
      <c r="C309" s="6">
        <v>57</v>
      </c>
    </row>
    <row r="310" spans="1:3" x14ac:dyDescent="0.25">
      <c r="A310" s="6">
        <v>70</v>
      </c>
      <c r="B310" s="6">
        <v>61</v>
      </c>
      <c r="C310" s="6">
        <v>55</v>
      </c>
    </row>
    <row r="311" spans="1:3" x14ac:dyDescent="0.25">
      <c r="A311" s="6">
        <v>70</v>
      </c>
      <c r="B311" s="6">
        <v>60</v>
      </c>
      <c r="C311" s="6">
        <v>53</v>
      </c>
    </row>
    <row r="312" spans="1:3" x14ac:dyDescent="0.25">
      <c r="A312" s="6">
        <v>69</v>
      </c>
      <c r="B312" s="6">
        <v>68</v>
      </c>
      <c r="C312" s="6">
        <v>69</v>
      </c>
    </row>
    <row r="313" spans="1:3" x14ac:dyDescent="0.25">
      <c r="A313" s="6">
        <v>69</v>
      </c>
      <c r="B313" s="6">
        <v>67</v>
      </c>
      <c r="C313" s="6">
        <v>67</v>
      </c>
    </row>
    <row r="314" spans="1:3" x14ac:dyDescent="0.25">
      <c r="A314" s="6">
        <v>69</v>
      </c>
      <c r="B314" s="6">
        <v>66</v>
      </c>
      <c r="C314" s="6">
        <v>65</v>
      </c>
    </row>
    <row r="315" spans="1:3" x14ac:dyDescent="0.25">
      <c r="A315" s="6">
        <v>69</v>
      </c>
      <c r="B315" s="6">
        <v>65</v>
      </c>
      <c r="C315" s="6">
        <v>63</v>
      </c>
    </row>
    <row r="316" spans="1:3" x14ac:dyDescent="0.25">
      <c r="A316" s="6">
        <v>69</v>
      </c>
      <c r="B316" s="6">
        <v>64</v>
      </c>
      <c r="C316" s="6">
        <v>62</v>
      </c>
    </row>
    <row r="317" spans="1:3" x14ac:dyDescent="0.25">
      <c r="A317" s="6">
        <v>69</v>
      </c>
      <c r="B317" s="6">
        <v>63</v>
      </c>
      <c r="C317" s="6">
        <v>60</v>
      </c>
    </row>
    <row r="318" spans="1:3" x14ac:dyDescent="0.25">
      <c r="A318" s="6">
        <v>69</v>
      </c>
      <c r="B318" s="6">
        <v>62</v>
      </c>
      <c r="C318" s="6">
        <v>58</v>
      </c>
    </row>
    <row r="319" spans="1:3" x14ac:dyDescent="0.25">
      <c r="A319" s="6">
        <v>69</v>
      </c>
      <c r="B319" s="6">
        <v>61</v>
      </c>
      <c r="C319" s="6">
        <v>56</v>
      </c>
    </row>
    <row r="320" spans="1:3" x14ac:dyDescent="0.25">
      <c r="A320" s="6">
        <v>69</v>
      </c>
      <c r="B320" s="6">
        <v>60</v>
      </c>
      <c r="C320" s="6">
        <v>55</v>
      </c>
    </row>
    <row r="321" spans="1:3" x14ac:dyDescent="0.25">
      <c r="A321" s="6">
        <v>69</v>
      </c>
      <c r="B321" s="6">
        <v>59</v>
      </c>
      <c r="C321" s="6">
        <v>53</v>
      </c>
    </row>
    <row r="322" spans="1:3" x14ac:dyDescent="0.25">
      <c r="A322" s="6">
        <v>68</v>
      </c>
      <c r="B322" s="6">
        <v>67</v>
      </c>
      <c r="C322" s="6">
        <v>68</v>
      </c>
    </row>
    <row r="323" spans="1:3" x14ac:dyDescent="0.25">
      <c r="A323" s="6">
        <v>68</v>
      </c>
      <c r="B323" s="6">
        <v>66</v>
      </c>
      <c r="C323" s="6">
        <v>66</v>
      </c>
    </row>
    <row r="324" spans="1:3" x14ac:dyDescent="0.25">
      <c r="A324" s="6">
        <v>68</v>
      </c>
      <c r="B324" s="6">
        <v>65</v>
      </c>
      <c r="C324" s="6">
        <v>64</v>
      </c>
    </row>
    <row r="325" spans="1:3" x14ac:dyDescent="0.25">
      <c r="A325" s="6">
        <v>68</v>
      </c>
      <c r="B325" s="6">
        <v>64</v>
      </c>
      <c r="C325" s="6">
        <v>62</v>
      </c>
    </row>
    <row r="326" spans="1:3" x14ac:dyDescent="0.25">
      <c r="A326" s="6">
        <v>68</v>
      </c>
      <c r="B326" s="6">
        <v>63</v>
      </c>
      <c r="C326" s="6">
        <v>61</v>
      </c>
    </row>
    <row r="327" spans="1:3" x14ac:dyDescent="0.25">
      <c r="A327" s="6">
        <v>68</v>
      </c>
      <c r="B327" s="6">
        <v>62</v>
      </c>
      <c r="C327" s="6">
        <v>59</v>
      </c>
    </row>
    <row r="328" spans="1:3" x14ac:dyDescent="0.25">
      <c r="A328" s="6">
        <v>68</v>
      </c>
      <c r="B328" s="6">
        <v>61</v>
      </c>
      <c r="C328" s="6">
        <v>57</v>
      </c>
    </row>
    <row r="329" spans="1:3" x14ac:dyDescent="0.25">
      <c r="A329" s="6">
        <v>68</v>
      </c>
      <c r="B329" s="6">
        <v>60</v>
      </c>
      <c r="C329" s="6">
        <v>55</v>
      </c>
    </row>
    <row r="330" spans="1:3" x14ac:dyDescent="0.25">
      <c r="A330" s="6">
        <v>68</v>
      </c>
      <c r="B330" s="6">
        <v>59</v>
      </c>
      <c r="C330" s="6">
        <v>53</v>
      </c>
    </row>
    <row r="331" spans="1:3" x14ac:dyDescent="0.25">
      <c r="A331" s="6">
        <v>68</v>
      </c>
      <c r="B331" s="6">
        <v>58</v>
      </c>
      <c r="C331" s="6">
        <v>52</v>
      </c>
    </row>
    <row r="332" spans="1:3" x14ac:dyDescent="0.25">
      <c r="A332" s="6">
        <v>67</v>
      </c>
      <c r="B332" s="6">
        <v>66</v>
      </c>
      <c r="C332" s="6">
        <v>67</v>
      </c>
    </row>
    <row r="333" spans="1:3" x14ac:dyDescent="0.25">
      <c r="A333" s="6">
        <v>67</v>
      </c>
      <c r="B333" s="6">
        <v>65</v>
      </c>
      <c r="C333" s="6">
        <v>65</v>
      </c>
    </row>
    <row r="334" spans="1:3" x14ac:dyDescent="0.25">
      <c r="A334" s="6">
        <v>67</v>
      </c>
      <c r="B334" s="6">
        <v>64</v>
      </c>
      <c r="C334" s="6">
        <v>63</v>
      </c>
    </row>
    <row r="335" spans="1:3" x14ac:dyDescent="0.25">
      <c r="A335" s="6">
        <v>67</v>
      </c>
      <c r="B335" s="6">
        <v>63</v>
      </c>
      <c r="C335" s="6">
        <v>61</v>
      </c>
    </row>
    <row r="336" spans="1:3" x14ac:dyDescent="0.25">
      <c r="A336" s="6">
        <v>67</v>
      </c>
      <c r="B336" s="6">
        <v>62</v>
      </c>
      <c r="C336" s="6">
        <v>59</v>
      </c>
    </row>
    <row r="337" spans="1:3" x14ac:dyDescent="0.25">
      <c r="A337" s="6">
        <v>67</v>
      </c>
      <c r="B337" s="6">
        <v>61</v>
      </c>
      <c r="C337" s="6">
        <v>58</v>
      </c>
    </row>
    <row r="338" spans="1:3" x14ac:dyDescent="0.25">
      <c r="A338" s="6">
        <v>67</v>
      </c>
      <c r="B338" s="6">
        <v>60</v>
      </c>
      <c r="C338" s="6">
        <v>56</v>
      </c>
    </row>
    <row r="339" spans="1:3" x14ac:dyDescent="0.25">
      <c r="A339" s="6">
        <v>67</v>
      </c>
      <c r="B339" s="6">
        <v>59</v>
      </c>
      <c r="C339" s="6">
        <v>54</v>
      </c>
    </row>
    <row r="340" spans="1:3" x14ac:dyDescent="0.25">
      <c r="A340" s="6">
        <v>67</v>
      </c>
      <c r="B340" s="6">
        <v>58</v>
      </c>
      <c r="C340" s="6">
        <v>52</v>
      </c>
    </row>
    <row r="341" spans="1:3" x14ac:dyDescent="0.25">
      <c r="A341" s="6">
        <v>67</v>
      </c>
      <c r="B341" s="6">
        <v>57</v>
      </c>
      <c r="C341" s="6">
        <v>51</v>
      </c>
    </row>
    <row r="342" spans="1:3" x14ac:dyDescent="0.25">
      <c r="A342" s="6">
        <v>66</v>
      </c>
      <c r="B342" s="6">
        <v>65</v>
      </c>
      <c r="C342" s="6">
        <v>66</v>
      </c>
    </row>
    <row r="343" spans="1:3" x14ac:dyDescent="0.25">
      <c r="A343" s="6">
        <v>66</v>
      </c>
      <c r="B343" s="6">
        <v>64</v>
      </c>
      <c r="C343" s="6">
        <v>64</v>
      </c>
    </row>
    <row r="344" spans="1:3" x14ac:dyDescent="0.25">
      <c r="A344" s="6">
        <v>66</v>
      </c>
      <c r="B344" s="6">
        <v>63</v>
      </c>
      <c r="C344" s="6">
        <v>62</v>
      </c>
    </row>
    <row r="345" spans="1:3" x14ac:dyDescent="0.25">
      <c r="A345" s="6">
        <v>66</v>
      </c>
      <c r="B345" s="6">
        <v>62</v>
      </c>
      <c r="C345" s="6">
        <v>60</v>
      </c>
    </row>
    <row r="346" spans="1:3" x14ac:dyDescent="0.25">
      <c r="A346" s="6">
        <v>66</v>
      </c>
      <c r="B346" s="6">
        <v>61</v>
      </c>
      <c r="C346" s="6">
        <v>58</v>
      </c>
    </row>
    <row r="347" spans="1:3" x14ac:dyDescent="0.25">
      <c r="A347" s="6">
        <v>66</v>
      </c>
      <c r="B347" s="6">
        <v>60</v>
      </c>
      <c r="C347" s="6">
        <v>57</v>
      </c>
    </row>
    <row r="348" spans="1:3" x14ac:dyDescent="0.25">
      <c r="A348" s="6">
        <v>66</v>
      </c>
      <c r="B348" s="6">
        <v>59</v>
      </c>
      <c r="C348" s="6">
        <v>55</v>
      </c>
    </row>
    <row r="349" spans="1:3" x14ac:dyDescent="0.25">
      <c r="A349" s="6">
        <v>66</v>
      </c>
      <c r="B349" s="6">
        <v>58</v>
      </c>
      <c r="C349" s="6">
        <v>53</v>
      </c>
    </row>
    <row r="350" spans="1:3" x14ac:dyDescent="0.25">
      <c r="A350" s="6">
        <v>66</v>
      </c>
      <c r="B350" s="6">
        <v>57</v>
      </c>
      <c r="C350" s="6">
        <v>51</v>
      </c>
    </row>
    <row r="351" spans="1:3" x14ac:dyDescent="0.25">
      <c r="A351" s="6">
        <v>66</v>
      </c>
      <c r="B351" s="6">
        <v>56</v>
      </c>
      <c r="C351" s="6">
        <v>49</v>
      </c>
    </row>
    <row r="352" spans="1:3" x14ac:dyDescent="0.25">
      <c r="A352" s="6">
        <v>65</v>
      </c>
      <c r="B352" s="6">
        <v>64</v>
      </c>
      <c r="C352" s="6">
        <v>65</v>
      </c>
    </row>
    <row r="353" spans="1:3" x14ac:dyDescent="0.25">
      <c r="A353" s="6">
        <v>65</v>
      </c>
      <c r="B353" s="6">
        <v>63</v>
      </c>
      <c r="C353" s="6">
        <v>63</v>
      </c>
    </row>
    <row r="354" spans="1:3" x14ac:dyDescent="0.25">
      <c r="A354" s="6">
        <v>65</v>
      </c>
      <c r="B354" s="6">
        <v>62</v>
      </c>
      <c r="C354" s="6">
        <v>61</v>
      </c>
    </row>
    <row r="355" spans="1:3" x14ac:dyDescent="0.25">
      <c r="A355" s="6">
        <v>65</v>
      </c>
      <c r="B355" s="6">
        <v>61</v>
      </c>
      <c r="C355" s="6">
        <v>59</v>
      </c>
    </row>
    <row r="356" spans="1:3" x14ac:dyDescent="0.25">
      <c r="A356" s="6">
        <v>65</v>
      </c>
      <c r="B356" s="6">
        <v>60</v>
      </c>
      <c r="C356" s="6">
        <v>57</v>
      </c>
    </row>
    <row r="357" spans="1:3" x14ac:dyDescent="0.25">
      <c r="A357" s="6">
        <v>65</v>
      </c>
      <c r="B357" s="6">
        <v>59</v>
      </c>
      <c r="C357" s="6">
        <v>56</v>
      </c>
    </row>
    <row r="358" spans="1:3" x14ac:dyDescent="0.25">
      <c r="A358" s="6">
        <v>65</v>
      </c>
      <c r="B358" s="6">
        <v>58</v>
      </c>
      <c r="C358" s="6">
        <v>54</v>
      </c>
    </row>
    <row r="359" spans="1:3" x14ac:dyDescent="0.25">
      <c r="A359" s="6">
        <v>65</v>
      </c>
      <c r="B359" s="6">
        <v>57</v>
      </c>
      <c r="C359" s="6">
        <v>52</v>
      </c>
    </row>
    <row r="360" spans="1:3" x14ac:dyDescent="0.25">
      <c r="A360" s="6">
        <v>65</v>
      </c>
      <c r="B360" s="6">
        <v>56</v>
      </c>
      <c r="C360" s="6">
        <v>50</v>
      </c>
    </row>
    <row r="361" spans="1:3" x14ac:dyDescent="0.25">
      <c r="A361" s="6">
        <v>65</v>
      </c>
      <c r="B361" s="6">
        <v>55</v>
      </c>
      <c r="C361" s="6">
        <v>48</v>
      </c>
    </row>
    <row r="362" spans="1:3" x14ac:dyDescent="0.25">
      <c r="A362" s="6">
        <v>64</v>
      </c>
      <c r="B362" s="6">
        <v>63</v>
      </c>
      <c r="C362" s="6">
        <v>64</v>
      </c>
    </row>
    <row r="363" spans="1:3" x14ac:dyDescent="0.25">
      <c r="A363" s="6">
        <v>64</v>
      </c>
      <c r="B363" s="6">
        <v>62</v>
      </c>
      <c r="C363" s="6">
        <v>62</v>
      </c>
    </row>
    <row r="364" spans="1:3" x14ac:dyDescent="0.25">
      <c r="A364" s="6">
        <v>64</v>
      </c>
      <c r="B364" s="6">
        <v>61</v>
      </c>
      <c r="C364" s="6">
        <v>60</v>
      </c>
    </row>
    <row r="365" spans="1:3" x14ac:dyDescent="0.25">
      <c r="A365" s="6">
        <v>64</v>
      </c>
      <c r="B365" s="6">
        <v>60</v>
      </c>
      <c r="C365" s="6">
        <v>58</v>
      </c>
    </row>
    <row r="366" spans="1:3" x14ac:dyDescent="0.25">
      <c r="A366" s="6">
        <v>64</v>
      </c>
      <c r="B366" s="6">
        <v>59</v>
      </c>
      <c r="C366" s="6">
        <v>56</v>
      </c>
    </row>
    <row r="367" spans="1:3" x14ac:dyDescent="0.25">
      <c r="A367" s="6">
        <v>64</v>
      </c>
      <c r="B367" s="6">
        <v>58</v>
      </c>
      <c r="C367" s="6">
        <v>55</v>
      </c>
    </row>
    <row r="368" spans="1:3" x14ac:dyDescent="0.25">
      <c r="A368" s="6">
        <v>64</v>
      </c>
      <c r="B368" s="6">
        <v>57</v>
      </c>
      <c r="C368" s="6">
        <v>53</v>
      </c>
    </row>
    <row r="369" spans="1:3" x14ac:dyDescent="0.25">
      <c r="A369" s="6">
        <v>64</v>
      </c>
      <c r="B369" s="6">
        <v>56</v>
      </c>
      <c r="C369" s="6">
        <v>51</v>
      </c>
    </row>
    <row r="370" spans="1:3" x14ac:dyDescent="0.25">
      <c r="A370" s="6">
        <v>64</v>
      </c>
      <c r="B370" s="6">
        <v>55</v>
      </c>
      <c r="C370" s="6">
        <v>49</v>
      </c>
    </row>
    <row r="371" spans="1:3" x14ac:dyDescent="0.25">
      <c r="A371" s="6">
        <v>64</v>
      </c>
      <c r="B371" s="6">
        <v>54</v>
      </c>
      <c r="C371" s="6">
        <v>47</v>
      </c>
    </row>
    <row r="372" spans="1:3" x14ac:dyDescent="0.25">
      <c r="A372" s="6">
        <v>63</v>
      </c>
      <c r="B372" s="6">
        <v>62</v>
      </c>
      <c r="C372" s="6">
        <v>63</v>
      </c>
    </row>
    <row r="373" spans="1:3" x14ac:dyDescent="0.25">
      <c r="A373" s="6">
        <v>63</v>
      </c>
      <c r="B373" s="6">
        <v>61</v>
      </c>
      <c r="C373" s="6">
        <v>61</v>
      </c>
    </row>
    <row r="374" spans="1:3" x14ac:dyDescent="0.25">
      <c r="A374" s="6">
        <v>63</v>
      </c>
      <c r="B374" s="6">
        <v>60</v>
      </c>
      <c r="C374" s="6">
        <v>59</v>
      </c>
    </row>
    <row r="375" spans="1:3" x14ac:dyDescent="0.25">
      <c r="A375" s="6">
        <v>63</v>
      </c>
      <c r="B375" s="6">
        <v>59</v>
      </c>
      <c r="C375" s="6">
        <v>57</v>
      </c>
    </row>
    <row r="376" spans="1:3" x14ac:dyDescent="0.25">
      <c r="A376" s="6">
        <v>63</v>
      </c>
      <c r="B376" s="6">
        <v>58</v>
      </c>
      <c r="C376" s="6">
        <v>55</v>
      </c>
    </row>
    <row r="377" spans="1:3" x14ac:dyDescent="0.25">
      <c r="A377" s="6">
        <v>63</v>
      </c>
      <c r="B377" s="6">
        <v>57</v>
      </c>
      <c r="C377" s="6">
        <v>53</v>
      </c>
    </row>
    <row r="378" spans="1:3" x14ac:dyDescent="0.25">
      <c r="A378" s="6">
        <v>63</v>
      </c>
      <c r="B378" s="6">
        <v>56</v>
      </c>
      <c r="C378" s="6">
        <v>52</v>
      </c>
    </row>
    <row r="379" spans="1:3" x14ac:dyDescent="0.25">
      <c r="A379" s="6">
        <v>63</v>
      </c>
      <c r="B379" s="6">
        <v>55</v>
      </c>
      <c r="C379" s="6">
        <v>50</v>
      </c>
    </row>
    <row r="380" spans="1:3" x14ac:dyDescent="0.25">
      <c r="A380" s="6">
        <v>63</v>
      </c>
      <c r="B380" s="6">
        <v>54</v>
      </c>
      <c r="C380" s="6">
        <v>48</v>
      </c>
    </row>
    <row r="381" spans="1:3" x14ac:dyDescent="0.25">
      <c r="A381" s="6">
        <v>63</v>
      </c>
      <c r="B381" s="6">
        <v>53</v>
      </c>
      <c r="C381" s="6">
        <v>46</v>
      </c>
    </row>
    <row r="382" spans="1:3" x14ac:dyDescent="0.25">
      <c r="A382" s="6">
        <v>62</v>
      </c>
      <c r="B382" s="6">
        <v>61</v>
      </c>
      <c r="C382" s="6">
        <v>62</v>
      </c>
    </row>
    <row r="383" spans="1:3" x14ac:dyDescent="0.25">
      <c r="A383" s="6">
        <v>62</v>
      </c>
      <c r="B383" s="6">
        <v>60</v>
      </c>
      <c r="C383" s="6">
        <v>60</v>
      </c>
    </row>
    <row r="384" spans="1:3" x14ac:dyDescent="0.25">
      <c r="A384" s="6">
        <v>62</v>
      </c>
      <c r="B384" s="6">
        <v>59</v>
      </c>
      <c r="C384" s="6">
        <v>58</v>
      </c>
    </row>
    <row r="385" spans="1:3" x14ac:dyDescent="0.25">
      <c r="A385" s="6">
        <v>62</v>
      </c>
      <c r="B385" s="6">
        <v>58</v>
      </c>
      <c r="C385" s="6">
        <v>56</v>
      </c>
    </row>
    <row r="386" spans="1:3" x14ac:dyDescent="0.25">
      <c r="A386" s="6">
        <v>62</v>
      </c>
      <c r="B386" s="6">
        <v>57</v>
      </c>
      <c r="C386" s="6">
        <v>54</v>
      </c>
    </row>
    <row r="387" spans="1:3" x14ac:dyDescent="0.25">
      <c r="A387" s="6">
        <v>62</v>
      </c>
      <c r="B387" s="6">
        <v>56</v>
      </c>
      <c r="C387" s="6">
        <v>52</v>
      </c>
    </row>
    <row r="388" spans="1:3" x14ac:dyDescent="0.25">
      <c r="A388" s="6">
        <v>62</v>
      </c>
      <c r="B388" s="6">
        <v>55</v>
      </c>
      <c r="C388" s="6">
        <v>51</v>
      </c>
    </row>
    <row r="389" spans="1:3" x14ac:dyDescent="0.25">
      <c r="A389" s="6">
        <v>62</v>
      </c>
      <c r="B389" s="6">
        <v>54</v>
      </c>
      <c r="C389" s="6">
        <v>49</v>
      </c>
    </row>
    <row r="390" spans="1:3" x14ac:dyDescent="0.25">
      <c r="A390" s="6">
        <v>62</v>
      </c>
      <c r="B390" s="6">
        <v>53</v>
      </c>
      <c r="C390" s="6">
        <v>47</v>
      </c>
    </row>
    <row r="391" spans="1:3" x14ac:dyDescent="0.25">
      <c r="A391" s="6">
        <v>62</v>
      </c>
      <c r="B391" s="6">
        <v>52</v>
      </c>
      <c r="C391" s="6">
        <v>45</v>
      </c>
    </row>
    <row r="392" spans="1:3" x14ac:dyDescent="0.25">
      <c r="A392" s="6">
        <v>61</v>
      </c>
      <c r="B392" s="6">
        <v>60</v>
      </c>
      <c r="C392" s="6">
        <v>61</v>
      </c>
    </row>
    <row r="393" spans="1:3" x14ac:dyDescent="0.25">
      <c r="A393" s="6">
        <v>61</v>
      </c>
      <c r="B393" s="6">
        <v>59</v>
      </c>
      <c r="C393" s="6">
        <v>59</v>
      </c>
    </row>
    <row r="394" spans="1:3" x14ac:dyDescent="0.25">
      <c r="A394" s="6">
        <v>61</v>
      </c>
      <c r="B394" s="6">
        <v>58</v>
      </c>
      <c r="C394" s="6">
        <v>57</v>
      </c>
    </row>
    <row r="395" spans="1:3" x14ac:dyDescent="0.25">
      <c r="A395" s="6">
        <v>61</v>
      </c>
      <c r="B395" s="6">
        <v>57</v>
      </c>
      <c r="C395" s="6">
        <v>55</v>
      </c>
    </row>
    <row r="396" spans="1:3" x14ac:dyDescent="0.25">
      <c r="A396" s="6">
        <v>61</v>
      </c>
      <c r="B396" s="6">
        <v>56</v>
      </c>
      <c r="C396" s="6">
        <v>53</v>
      </c>
    </row>
    <row r="397" spans="1:3" x14ac:dyDescent="0.25">
      <c r="A397" s="6">
        <v>61</v>
      </c>
      <c r="B397" s="6">
        <v>55</v>
      </c>
      <c r="C397" s="6">
        <v>51</v>
      </c>
    </row>
    <row r="398" spans="1:3" x14ac:dyDescent="0.25">
      <c r="A398" s="6">
        <v>61</v>
      </c>
      <c r="B398" s="6">
        <v>54</v>
      </c>
      <c r="C398" s="6">
        <v>49</v>
      </c>
    </row>
    <row r="399" spans="1:3" x14ac:dyDescent="0.25">
      <c r="A399" s="6">
        <v>61</v>
      </c>
      <c r="B399" s="6">
        <v>53</v>
      </c>
      <c r="C399" s="6">
        <v>47</v>
      </c>
    </row>
    <row r="400" spans="1:3" x14ac:dyDescent="0.25">
      <c r="A400" s="6">
        <v>61</v>
      </c>
      <c r="B400" s="6">
        <v>52</v>
      </c>
      <c r="C400" s="6">
        <v>46</v>
      </c>
    </row>
    <row r="401" spans="1:3" x14ac:dyDescent="0.25">
      <c r="A401" s="6">
        <v>61</v>
      </c>
      <c r="B401" s="6">
        <v>51</v>
      </c>
      <c r="C401" s="6">
        <v>44</v>
      </c>
    </row>
    <row r="402" spans="1:3" x14ac:dyDescent="0.25">
      <c r="A402" s="6">
        <v>60</v>
      </c>
      <c r="B402" s="6">
        <v>59</v>
      </c>
      <c r="C402" s="6">
        <v>60</v>
      </c>
    </row>
    <row r="403" spans="1:3" x14ac:dyDescent="0.25">
      <c r="A403" s="6">
        <v>60</v>
      </c>
      <c r="B403" s="6">
        <v>58</v>
      </c>
      <c r="C403" s="6">
        <v>58</v>
      </c>
    </row>
    <row r="404" spans="1:3" x14ac:dyDescent="0.25">
      <c r="A404" s="6">
        <v>60</v>
      </c>
      <c r="B404" s="6">
        <v>57</v>
      </c>
      <c r="C404" s="6">
        <v>56</v>
      </c>
    </row>
    <row r="405" spans="1:3" x14ac:dyDescent="0.25">
      <c r="A405" s="6">
        <v>60</v>
      </c>
      <c r="B405" s="6">
        <v>56</v>
      </c>
      <c r="C405" s="6">
        <v>54</v>
      </c>
    </row>
    <row r="406" spans="1:3" x14ac:dyDescent="0.25">
      <c r="A406" s="6">
        <v>60</v>
      </c>
      <c r="B406" s="6">
        <v>55</v>
      </c>
      <c r="C406" s="6">
        <v>52</v>
      </c>
    </row>
    <row r="407" spans="1:3" x14ac:dyDescent="0.25">
      <c r="A407" s="6">
        <v>60</v>
      </c>
      <c r="B407" s="6">
        <v>54</v>
      </c>
      <c r="C407" s="6">
        <v>50</v>
      </c>
    </row>
    <row r="408" spans="1:3" x14ac:dyDescent="0.25">
      <c r="A408" s="6">
        <v>60</v>
      </c>
      <c r="B408" s="6">
        <v>53</v>
      </c>
      <c r="C408" s="6">
        <v>48</v>
      </c>
    </row>
    <row r="409" spans="1:3" x14ac:dyDescent="0.25">
      <c r="A409" s="6">
        <v>60</v>
      </c>
      <c r="B409" s="6">
        <v>52</v>
      </c>
      <c r="C409" s="6">
        <v>46</v>
      </c>
    </row>
    <row r="410" spans="1:3" x14ac:dyDescent="0.25">
      <c r="A410" s="6">
        <v>60</v>
      </c>
      <c r="B410" s="6">
        <v>51</v>
      </c>
      <c r="C410" s="6">
        <v>45</v>
      </c>
    </row>
    <row r="411" spans="1:3" x14ac:dyDescent="0.25">
      <c r="A411" s="6">
        <v>60</v>
      </c>
      <c r="B411" s="6">
        <v>50</v>
      </c>
      <c r="C411" s="6">
        <v>43</v>
      </c>
    </row>
    <row r="412" spans="1:3" x14ac:dyDescent="0.25">
      <c r="A412" s="6">
        <v>59</v>
      </c>
      <c r="B412" s="6">
        <v>58</v>
      </c>
      <c r="C412" s="6">
        <v>59</v>
      </c>
    </row>
    <row r="413" spans="1:3" x14ac:dyDescent="0.25">
      <c r="A413" s="6">
        <v>59</v>
      </c>
      <c r="B413" s="6">
        <v>57</v>
      </c>
      <c r="C413" s="6">
        <v>57</v>
      </c>
    </row>
    <row r="414" spans="1:3" x14ac:dyDescent="0.25">
      <c r="A414" s="6">
        <v>59</v>
      </c>
      <c r="B414" s="6">
        <v>56</v>
      </c>
      <c r="C414" s="6">
        <v>55</v>
      </c>
    </row>
    <row r="415" spans="1:3" x14ac:dyDescent="0.25">
      <c r="A415" s="6">
        <v>59</v>
      </c>
      <c r="B415" s="6">
        <v>55</v>
      </c>
      <c r="C415" s="6">
        <v>53</v>
      </c>
    </row>
    <row r="416" spans="1:3" x14ac:dyDescent="0.25">
      <c r="A416" s="6">
        <v>59</v>
      </c>
      <c r="B416" s="6">
        <v>54</v>
      </c>
      <c r="C416" s="6">
        <v>51</v>
      </c>
    </row>
    <row r="417" spans="1:3" x14ac:dyDescent="0.25">
      <c r="A417" s="6">
        <v>59</v>
      </c>
      <c r="B417" s="6">
        <v>53</v>
      </c>
      <c r="C417" s="6">
        <v>49</v>
      </c>
    </row>
    <row r="418" spans="1:3" x14ac:dyDescent="0.25">
      <c r="A418" s="6">
        <v>59</v>
      </c>
      <c r="B418" s="6">
        <v>52</v>
      </c>
      <c r="C418" s="6">
        <v>47</v>
      </c>
    </row>
    <row r="419" spans="1:3" x14ac:dyDescent="0.25">
      <c r="A419" s="6">
        <v>59</v>
      </c>
      <c r="B419" s="6">
        <v>51</v>
      </c>
      <c r="C419" s="6">
        <v>45</v>
      </c>
    </row>
    <row r="420" spans="1:3" x14ac:dyDescent="0.25">
      <c r="A420" s="6">
        <v>59</v>
      </c>
      <c r="B420" s="6">
        <v>50</v>
      </c>
      <c r="C420" s="6">
        <v>43</v>
      </c>
    </row>
    <row r="421" spans="1:3" x14ac:dyDescent="0.25">
      <c r="A421" s="6">
        <v>59</v>
      </c>
      <c r="B421" s="6">
        <v>49</v>
      </c>
      <c r="C421" s="6">
        <v>42</v>
      </c>
    </row>
    <row r="422" spans="1:3" x14ac:dyDescent="0.25">
      <c r="A422" s="6">
        <v>58</v>
      </c>
      <c r="B422" s="6">
        <v>57</v>
      </c>
      <c r="C422" s="6">
        <v>58</v>
      </c>
    </row>
    <row r="423" spans="1:3" x14ac:dyDescent="0.25">
      <c r="A423" s="6">
        <v>58</v>
      </c>
      <c r="B423" s="6">
        <v>56</v>
      </c>
      <c r="C423" s="6">
        <v>56</v>
      </c>
    </row>
    <row r="424" spans="1:3" x14ac:dyDescent="0.25">
      <c r="A424" s="6">
        <v>58</v>
      </c>
      <c r="B424" s="6">
        <v>55</v>
      </c>
      <c r="C424" s="6">
        <v>54</v>
      </c>
    </row>
    <row r="425" spans="1:3" x14ac:dyDescent="0.25">
      <c r="A425" s="6">
        <v>58</v>
      </c>
      <c r="B425" s="6">
        <v>54</v>
      </c>
      <c r="C425" s="6">
        <v>52</v>
      </c>
    </row>
    <row r="426" spans="1:3" x14ac:dyDescent="0.25">
      <c r="A426" s="6">
        <v>58</v>
      </c>
      <c r="B426" s="6">
        <v>53</v>
      </c>
      <c r="C426" s="6">
        <v>50</v>
      </c>
    </row>
    <row r="427" spans="1:3" x14ac:dyDescent="0.25">
      <c r="A427" s="6">
        <v>58</v>
      </c>
      <c r="B427" s="6">
        <v>52</v>
      </c>
      <c r="C427" s="6">
        <v>48</v>
      </c>
    </row>
    <row r="428" spans="1:3" x14ac:dyDescent="0.25">
      <c r="A428" s="6">
        <v>58</v>
      </c>
      <c r="B428" s="6">
        <v>51</v>
      </c>
      <c r="C428" s="6">
        <v>46</v>
      </c>
    </row>
    <row r="429" spans="1:3" x14ac:dyDescent="0.25">
      <c r="A429" s="6">
        <v>58</v>
      </c>
      <c r="B429" s="6">
        <v>50</v>
      </c>
      <c r="C429" s="6">
        <v>44</v>
      </c>
    </row>
    <row r="430" spans="1:3" x14ac:dyDescent="0.25">
      <c r="A430" s="6">
        <v>58</v>
      </c>
      <c r="B430" s="6">
        <v>49</v>
      </c>
      <c r="C430" s="6">
        <v>42</v>
      </c>
    </row>
    <row r="431" spans="1:3" x14ac:dyDescent="0.25">
      <c r="A431" s="6">
        <v>58</v>
      </c>
      <c r="B431" s="6">
        <v>48</v>
      </c>
      <c r="C431" s="6">
        <v>40</v>
      </c>
    </row>
    <row r="432" spans="1:3" x14ac:dyDescent="0.25">
      <c r="A432" s="6">
        <v>57</v>
      </c>
      <c r="B432" s="6">
        <v>56</v>
      </c>
      <c r="C432" s="6">
        <v>57</v>
      </c>
    </row>
    <row r="433" spans="1:3" x14ac:dyDescent="0.25">
      <c r="A433" s="6">
        <v>57</v>
      </c>
      <c r="B433" s="6">
        <v>55</v>
      </c>
      <c r="C433" s="6">
        <v>55</v>
      </c>
    </row>
    <row r="434" spans="1:3" x14ac:dyDescent="0.25">
      <c r="A434" s="6">
        <v>57</v>
      </c>
      <c r="B434" s="6">
        <v>54</v>
      </c>
      <c r="C434" s="6">
        <v>53</v>
      </c>
    </row>
    <row r="435" spans="1:3" x14ac:dyDescent="0.25">
      <c r="A435" s="6">
        <v>57</v>
      </c>
      <c r="B435" s="6">
        <v>53</v>
      </c>
      <c r="C435" s="6">
        <v>51</v>
      </c>
    </row>
    <row r="436" spans="1:3" x14ac:dyDescent="0.25">
      <c r="A436" s="6">
        <v>57</v>
      </c>
      <c r="B436" s="6">
        <v>52</v>
      </c>
      <c r="C436" s="6">
        <v>49</v>
      </c>
    </row>
    <row r="437" spans="1:3" x14ac:dyDescent="0.25">
      <c r="A437" s="6">
        <v>57</v>
      </c>
      <c r="B437" s="6">
        <v>51</v>
      </c>
      <c r="C437" s="6">
        <v>47</v>
      </c>
    </row>
    <row r="438" spans="1:3" x14ac:dyDescent="0.25">
      <c r="A438" s="6">
        <v>57</v>
      </c>
      <c r="B438" s="6">
        <v>50</v>
      </c>
      <c r="C438" s="6">
        <v>45</v>
      </c>
    </row>
    <row r="439" spans="1:3" x14ac:dyDescent="0.25">
      <c r="A439" s="6">
        <v>57</v>
      </c>
      <c r="B439" s="6">
        <v>49</v>
      </c>
      <c r="C439" s="6">
        <v>43</v>
      </c>
    </row>
    <row r="440" spans="1:3" x14ac:dyDescent="0.25">
      <c r="A440" s="6">
        <v>57</v>
      </c>
      <c r="B440" s="6">
        <v>48</v>
      </c>
      <c r="C440" s="6">
        <v>41</v>
      </c>
    </row>
    <row r="441" spans="1:3" x14ac:dyDescent="0.25">
      <c r="A441" s="6">
        <v>57</v>
      </c>
      <c r="B441" s="6">
        <v>47</v>
      </c>
      <c r="C441" s="6">
        <v>39</v>
      </c>
    </row>
    <row r="442" spans="1:3" x14ac:dyDescent="0.25">
      <c r="A442" s="6">
        <v>56</v>
      </c>
      <c r="B442" s="6">
        <v>55</v>
      </c>
      <c r="C442" s="6">
        <v>56</v>
      </c>
    </row>
    <row r="443" spans="1:3" x14ac:dyDescent="0.25">
      <c r="A443" s="6">
        <v>56</v>
      </c>
      <c r="B443" s="6">
        <v>54</v>
      </c>
      <c r="C443" s="6">
        <v>54</v>
      </c>
    </row>
    <row r="444" spans="1:3" x14ac:dyDescent="0.25">
      <c r="A444" s="6">
        <v>56</v>
      </c>
      <c r="B444" s="6">
        <v>53</v>
      </c>
      <c r="C444" s="6">
        <v>52</v>
      </c>
    </row>
    <row r="445" spans="1:3" x14ac:dyDescent="0.25">
      <c r="A445" s="6">
        <v>56</v>
      </c>
      <c r="B445" s="6">
        <v>52</v>
      </c>
      <c r="C445" s="6">
        <v>50</v>
      </c>
    </row>
    <row r="446" spans="1:3" x14ac:dyDescent="0.25">
      <c r="A446" s="6">
        <v>56</v>
      </c>
      <c r="B446" s="6">
        <v>51</v>
      </c>
      <c r="C446" s="6">
        <v>48</v>
      </c>
    </row>
    <row r="447" spans="1:3" x14ac:dyDescent="0.25">
      <c r="A447" s="6">
        <v>56</v>
      </c>
      <c r="B447" s="6">
        <v>50</v>
      </c>
      <c r="C447" s="6">
        <v>46</v>
      </c>
    </row>
    <row r="448" spans="1:3" x14ac:dyDescent="0.25">
      <c r="A448" s="6">
        <v>56</v>
      </c>
      <c r="B448" s="6">
        <v>49</v>
      </c>
      <c r="C448" s="6">
        <v>44</v>
      </c>
    </row>
    <row r="449" spans="1:3" x14ac:dyDescent="0.25">
      <c r="A449" s="6">
        <v>56</v>
      </c>
      <c r="B449" s="6">
        <v>48</v>
      </c>
      <c r="C449" s="6">
        <v>42</v>
      </c>
    </row>
    <row r="450" spans="1:3" x14ac:dyDescent="0.25">
      <c r="A450" s="6">
        <v>56</v>
      </c>
      <c r="B450" s="6">
        <v>47</v>
      </c>
      <c r="C450" s="6">
        <v>40</v>
      </c>
    </row>
    <row r="451" spans="1:3" x14ac:dyDescent="0.25">
      <c r="A451" s="6">
        <v>56</v>
      </c>
      <c r="B451" s="6">
        <v>46</v>
      </c>
      <c r="C451" s="6">
        <v>38</v>
      </c>
    </row>
    <row r="452" spans="1:3" x14ac:dyDescent="0.25">
      <c r="A452" s="6">
        <v>55</v>
      </c>
      <c r="B452" s="6">
        <v>54</v>
      </c>
      <c r="C452" s="6">
        <v>55</v>
      </c>
    </row>
    <row r="453" spans="1:3" x14ac:dyDescent="0.25">
      <c r="A453" s="6">
        <v>55</v>
      </c>
      <c r="B453" s="6">
        <v>53</v>
      </c>
      <c r="C453" s="6">
        <v>53</v>
      </c>
    </row>
    <row r="454" spans="1:3" x14ac:dyDescent="0.25">
      <c r="A454" s="6">
        <v>55</v>
      </c>
      <c r="B454" s="6">
        <v>52</v>
      </c>
      <c r="C454" s="6">
        <v>51</v>
      </c>
    </row>
    <row r="455" spans="1:3" x14ac:dyDescent="0.25">
      <c r="A455" s="6">
        <v>55</v>
      </c>
      <c r="B455" s="6">
        <v>51</v>
      </c>
      <c r="C455" s="6">
        <v>49</v>
      </c>
    </row>
    <row r="456" spans="1:3" x14ac:dyDescent="0.25">
      <c r="A456" s="6">
        <v>55</v>
      </c>
      <c r="B456" s="6">
        <v>50</v>
      </c>
      <c r="C456" s="6">
        <v>47</v>
      </c>
    </row>
    <row r="457" spans="1:3" x14ac:dyDescent="0.25">
      <c r="A457" s="6">
        <v>55</v>
      </c>
      <c r="B457" s="6">
        <v>49</v>
      </c>
      <c r="C457" s="6">
        <v>45</v>
      </c>
    </row>
    <row r="458" spans="1:3" x14ac:dyDescent="0.25">
      <c r="A458" s="6">
        <v>55</v>
      </c>
      <c r="B458" s="6">
        <v>48</v>
      </c>
      <c r="C458" s="6">
        <v>43</v>
      </c>
    </row>
    <row r="459" spans="1:3" x14ac:dyDescent="0.25">
      <c r="A459" s="6">
        <v>55</v>
      </c>
      <c r="B459" s="6">
        <v>47</v>
      </c>
      <c r="C459" s="6">
        <v>41</v>
      </c>
    </row>
    <row r="460" spans="1:3" x14ac:dyDescent="0.25">
      <c r="A460" s="6">
        <v>55</v>
      </c>
      <c r="B460" s="6">
        <v>46</v>
      </c>
      <c r="C460" s="6">
        <v>39</v>
      </c>
    </row>
    <row r="461" spans="1:3" x14ac:dyDescent="0.25">
      <c r="A461" s="6">
        <v>55</v>
      </c>
      <c r="B461" s="6">
        <v>45</v>
      </c>
      <c r="C461" s="6">
        <v>37</v>
      </c>
    </row>
    <row r="462" spans="1:3" x14ac:dyDescent="0.25">
      <c r="A462" s="6">
        <v>54</v>
      </c>
      <c r="B462" s="6">
        <v>53</v>
      </c>
      <c r="C462" s="6">
        <v>54</v>
      </c>
    </row>
    <row r="463" spans="1:3" x14ac:dyDescent="0.25">
      <c r="A463" s="6">
        <v>54</v>
      </c>
      <c r="B463" s="6">
        <v>52</v>
      </c>
      <c r="C463" s="6">
        <v>52</v>
      </c>
    </row>
    <row r="464" spans="1:3" x14ac:dyDescent="0.25">
      <c r="A464" s="6">
        <v>54</v>
      </c>
      <c r="B464" s="6">
        <v>51</v>
      </c>
      <c r="C464" s="6">
        <v>50</v>
      </c>
    </row>
    <row r="465" spans="1:3" x14ac:dyDescent="0.25">
      <c r="A465" s="6">
        <v>54</v>
      </c>
      <c r="B465" s="6">
        <v>50</v>
      </c>
      <c r="C465" s="6">
        <v>48</v>
      </c>
    </row>
    <row r="466" spans="1:3" x14ac:dyDescent="0.25">
      <c r="A466" s="6">
        <v>54</v>
      </c>
      <c r="B466" s="6">
        <v>49</v>
      </c>
      <c r="C466" s="6">
        <v>46</v>
      </c>
    </row>
    <row r="467" spans="1:3" x14ac:dyDescent="0.25">
      <c r="A467" s="6">
        <v>54</v>
      </c>
      <c r="B467" s="6">
        <v>48</v>
      </c>
      <c r="C467" s="6">
        <v>44</v>
      </c>
    </row>
    <row r="468" spans="1:3" x14ac:dyDescent="0.25">
      <c r="A468" s="6">
        <v>54</v>
      </c>
      <c r="B468" s="6">
        <v>47</v>
      </c>
      <c r="C468" s="6">
        <v>42</v>
      </c>
    </row>
    <row r="469" spans="1:3" x14ac:dyDescent="0.25">
      <c r="A469" s="6">
        <v>54</v>
      </c>
      <c r="B469" s="6">
        <v>46</v>
      </c>
      <c r="C469" s="6">
        <v>40</v>
      </c>
    </row>
    <row r="470" spans="1:3" x14ac:dyDescent="0.25">
      <c r="A470" s="6">
        <v>54</v>
      </c>
      <c r="B470" s="6">
        <v>45</v>
      </c>
      <c r="C470" s="6">
        <v>38</v>
      </c>
    </row>
    <row r="471" spans="1:3" x14ac:dyDescent="0.25">
      <c r="A471" s="6">
        <v>54</v>
      </c>
      <c r="B471" s="6">
        <v>44</v>
      </c>
      <c r="C471" s="6">
        <v>36</v>
      </c>
    </row>
    <row r="472" spans="1:3" x14ac:dyDescent="0.25">
      <c r="A472" s="6">
        <v>53</v>
      </c>
      <c r="B472" s="6">
        <v>52</v>
      </c>
      <c r="C472" s="6">
        <v>53</v>
      </c>
    </row>
    <row r="473" spans="1:3" x14ac:dyDescent="0.25">
      <c r="A473" s="6">
        <v>53</v>
      </c>
      <c r="B473" s="6">
        <v>51</v>
      </c>
      <c r="C473" s="6">
        <v>51</v>
      </c>
    </row>
    <row r="474" spans="1:3" x14ac:dyDescent="0.25">
      <c r="A474" s="6">
        <v>53</v>
      </c>
      <c r="B474" s="6">
        <v>50</v>
      </c>
      <c r="C474" s="6">
        <v>49</v>
      </c>
    </row>
    <row r="475" spans="1:3" x14ac:dyDescent="0.25">
      <c r="A475" s="6">
        <v>53</v>
      </c>
      <c r="B475" s="6">
        <v>49</v>
      </c>
      <c r="C475" s="6">
        <v>47</v>
      </c>
    </row>
    <row r="476" spans="1:3" x14ac:dyDescent="0.25">
      <c r="A476" s="6">
        <v>53</v>
      </c>
      <c r="B476" s="6">
        <v>48</v>
      </c>
      <c r="C476" s="6">
        <v>45</v>
      </c>
    </row>
    <row r="477" spans="1:3" x14ac:dyDescent="0.25">
      <c r="A477" s="6">
        <v>53</v>
      </c>
      <c r="B477" s="6">
        <v>47</v>
      </c>
      <c r="C477" s="6">
        <v>42</v>
      </c>
    </row>
    <row r="478" spans="1:3" x14ac:dyDescent="0.25">
      <c r="A478" s="6">
        <v>53</v>
      </c>
      <c r="B478" s="6">
        <v>46</v>
      </c>
      <c r="C478" s="6">
        <v>40</v>
      </c>
    </row>
    <row r="479" spans="1:3" x14ac:dyDescent="0.25">
      <c r="A479" s="6">
        <v>53</v>
      </c>
      <c r="B479" s="6">
        <v>45</v>
      </c>
      <c r="C479" s="6">
        <v>38</v>
      </c>
    </row>
    <row r="480" spans="1:3" x14ac:dyDescent="0.25">
      <c r="A480" s="6">
        <v>53</v>
      </c>
      <c r="B480" s="6">
        <v>44</v>
      </c>
      <c r="C480" s="6">
        <v>36</v>
      </c>
    </row>
    <row r="481" spans="1:3" x14ac:dyDescent="0.25">
      <c r="A481" s="6">
        <v>53</v>
      </c>
      <c r="B481" s="6">
        <v>43</v>
      </c>
      <c r="C481" s="6">
        <v>34</v>
      </c>
    </row>
    <row r="482" spans="1:3" x14ac:dyDescent="0.25">
      <c r="A482" s="6">
        <v>52</v>
      </c>
      <c r="B482" s="6">
        <v>51</v>
      </c>
      <c r="C482" s="6">
        <v>52</v>
      </c>
    </row>
    <row r="483" spans="1:3" x14ac:dyDescent="0.25">
      <c r="A483" s="6">
        <v>52</v>
      </c>
      <c r="B483" s="6">
        <v>50</v>
      </c>
      <c r="C483" s="6">
        <v>50</v>
      </c>
    </row>
    <row r="484" spans="1:3" x14ac:dyDescent="0.25">
      <c r="A484" s="6">
        <v>52</v>
      </c>
      <c r="B484" s="6">
        <v>49</v>
      </c>
      <c r="C484" s="6">
        <v>47</v>
      </c>
    </row>
    <row r="485" spans="1:3" x14ac:dyDescent="0.25">
      <c r="A485" s="6">
        <v>52</v>
      </c>
      <c r="B485" s="6">
        <v>48</v>
      </c>
      <c r="C485" s="6">
        <v>45</v>
      </c>
    </row>
    <row r="486" spans="1:3" x14ac:dyDescent="0.25">
      <c r="A486" s="6">
        <v>52</v>
      </c>
      <c r="B486" s="6">
        <v>47</v>
      </c>
      <c r="C486" s="6">
        <v>43</v>
      </c>
    </row>
    <row r="487" spans="1:3" x14ac:dyDescent="0.25">
      <c r="A487" s="6">
        <v>52</v>
      </c>
      <c r="B487" s="6">
        <v>46</v>
      </c>
      <c r="C487" s="6">
        <v>41</v>
      </c>
    </row>
    <row r="488" spans="1:3" x14ac:dyDescent="0.25">
      <c r="A488" s="6">
        <v>52</v>
      </c>
      <c r="B488" s="6">
        <v>45</v>
      </c>
      <c r="C488" s="6">
        <v>39</v>
      </c>
    </row>
    <row r="489" spans="1:3" x14ac:dyDescent="0.25">
      <c r="A489" s="6">
        <v>52</v>
      </c>
      <c r="B489" s="6">
        <v>44</v>
      </c>
      <c r="C489" s="6">
        <v>37</v>
      </c>
    </row>
    <row r="490" spans="1:3" x14ac:dyDescent="0.25">
      <c r="A490" s="6">
        <v>52</v>
      </c>
      <c r="B490" s="6">
        <v>43</v>
      </c>
      <c r="C490" s="6">
        <v>35</v>
      </c>
    </row>
    <row r="491" spans="1:3" x14ac:dyDescent="0.25">
      <c r="A491" s="6">
        <v>52</v>
      </c>
      <c r="B491" s="6">
        <v>42</v>
      </c>
      <c r="C491" s="6">
        <v>33</v>
      </c>
    </row>
    <row r="492" spans="1:3" x14ac:dyDescent="0.25">
      <c r="A492" s="6">
        <v>51</v>
      </c>
      <c r="B492" s="6">
        <v>50</v>
      </c>
      <c r="C492" s="6">
        <v>51</v>
      </c>
    </row>
    <row r="493" spans="1:3" x14ac:dyDescent="0.25">
      <c r="A493" s="6">
        <v>51</v>
      </c>
      <c r="B493" s="6">
        <v>49</v>
      </c>
      <c r="C493" s="6">
        <v>48</v>
      </c>
    </row>
    <row r="494" spans="1:3" x14ac:dyDescent="0.25">
      <c r="A494" s="6">
        <v>51</v>
      </c>
      <c r="B494" s="6">
        <v>48</v>
      </c>
      <c r="C494" s="6">
        <v>46</v>
      </c>
    </row>
    <row r="495" spans="1:3" x14ac:dyDescent="0.25">
      <c r="A495" s="6">
        <v>51</v>
      </c>
      <c r="B495" s="6">
        <v>47</v>
      </c>
      <c r="C495" s="6">
        <v>44</v>
      </c>
    </row>
    <row r="496" spans="1:3" x14ac:dyDescent="0.25">
      <c r="A496" s="6">
        <v>51</v>
      </c>
      <c r="B496" s="6">
        <v>46</v>
      </c>
      <c r="C496" s="6">
        <v>42</v>
      </c>
    </row>
    <row r="497" spans="1:3" x14ac:dyDescent="0.25">
      <c r="A497" s="6">
        <v>51</v>
      </c>
      <c r="B497" s="6">
        <v>45</v>
      </c>
      <c r="C497" s="6">
        <v>40</v>
      </c>
    </row>
    <row r="498" spans="1:3" x14ac:dyDescent="0.25">
      <c r="A498" s="6">
        <v>51</v>
      </c>
      <c r="B498" s="6">
        <v>44</v>
      </c>
      <c r="C498" s="6">
        <v>38</v>
      </c>
    </row>
    <row r="499" spans="1:3" x14ac:dyDescent="0.25">
      <c r="A499" s="6">
        <v>51</v>
      </c>
      <c r="B499" s="6">
        <v>43</v>
      </c>
      <c r="C499" s="6">
        <v>36</v>
      </c>
    </row>
    <row r="500" spans="1:3" x14ac:dyDescent="0.25">
      <c r="A500" s="6">
        <v>51</v>
      </c>
      <c r="B500" s="6">
        <v>42</v>
      </c>
      <c r="C500" s="6">
        <v>34</v>
      </c>
    </row>
    <row r="501" spans="1:3" x14ac:dyDescent="0.25">
      <c r="A501" s="6">
        <v>51</v>
      </c>
      <c r="B501" s="6">
        <v>41</v>
      </c>
      <c r="C501" s="6">
        <v>32</v>
      </c>
    </row>
    <row r="502" spans="1:3" x14ac:dyDescent="0.25">
      <c r="A502" s="6">
        <v>50</v>
      </c>
      <c r="B502" s="6">
        <v>49</v>
      </c>
      <c r="C502" s="6">
        <v>49</v>
      </c>
    </row>
    <row r="503" spans="1:3" x14ac:dyDescent="0.25">
      <c r="A503" s="6">
        <v>50</v>
      </c>
      <c r="B503" s="6">
        <v>48</v>
      </c>
      <c r="C503" s="6">
        <v>47</v>
      </c>
    </row>
    <row r="504" spans="1:3" x14ac:dyDescent="0.25">
      <c r="A504" s="6">
        <v>50</v>
      </c>
      <c r="B504" s="6">
        <v>47</v>
      </c>
      <c r="C504" s="6">
        <v>45</v>
      </c>
    </row>
    <row r="505" spans="1:3" x14ac:dyDescent="0.25">
      <c r="A505" s="6">
        <v>50</v>
      </c>
      <c r="B505" s="6">
        <v>46</v>
      </c>
      <c r="C505" s="6">
        <v>43</v>
      </c>
    </row>
    <row r="506" spans="1:3" x14ac:dyDescent="0.25">
      <c r="A506" s="6">
        <v>50</v>
      </c>
      <c r="B506" s="6">
        <v>45</v>
      </c>
      <c r="C506" s="6">
        <v>41</v>
      </c>
    </row>
    <row r="507" spans="1:3" x14ac:dyDescent="0.25">
      <c r="A507" s="6">
        <v>50</v>
      </c>
      <c r="B507" s="6">
        <v>44</v>
      </c>
      <c r="C507" s="6">
        <v>39</v>
      </c>
    </row>
    <row r="508" spans="1:3" x14ac:dyDescent="0.25">
      <c r="A508" s="6">
        <v>50</v>
      </c>
      <c r="B508" s="6">
        <v>43</v>
      </c>
      <c r="C508" s="6">
        <v>37</v>
      </c>
    </row>
    <row r="509" spans="1:3" x14ac:dyDescent="0.25">
      <c r="A509" s="6">
        <v>50</v>
      </c>
      <c r="B509" s="6">
        <v>42</v>
      </c>
      <c r="C509" s="6">
        <v>35</v>
      </c>
    </row>
    <row r="510" spans="1:3" x14ac:dyDescent="0.25">
      <c r="A510" s="6">
        <v>50</v>
      </c>
      <c r="B510" s="6">
        <v>41</v>
      </c>
      <c r="C510" s="6">
        <v>33</v>
      </c>
    </row>
    <row r="511" spans="1:3" x14ac:dyDescent="0.25">
      <c r="A511" s="6">
        <v>50</v>
      </c>
      <c r="B511" s="6">
        <v>40</v>
      </c>
      <c r="C511" s="6">
        <v>31</v>
      </c>
    </row>
    <row r="512" spans="1:3" x14ac:dyDescent="0.25">
      <c r="A512" s="6">
        <v>49</v>
      </c>
      <c r="B512" s="6">
        <v>48</v>
      </c>
      <c r="C512" s="6">
        <v>48</v>
      </c>
    </row>
    <row r="513" spans="1:3" x14ac:dyDescent="0.25">
      <c r="A513" s="6">
        <v>49</v>
      </c>
      <c r="B513" s="6">
        <v>47</v>
      </c>
      <c r="C513" s="6">
        <v>46</v>
      </c>
    </row>
    <row r="514" spans="1:3" x14ac:dyDescent="0.25">
      <c r="A514" s="6">
        <v>49</v>
      </c>
      <c r="B514" s="6">
        <v>46</v>
      </c>
      <c r="C514" s="6">
        <v>44</v>
      </c>
    </row>
    <row r="515" spans="1:3" x14ac:dyDescent="0.25">
      <c r="A515" s="6">
        <v>49</v>
      </c>
      <c r="B515" s="6">
        <v>45</v>
      </c>
      <c r="C515" s="6">
        <v>42</v>
      </c>
    </row>
    <row r="516" spans="1:3" x14ac:dyDescent="0.25">
      <c r="A516" s="6">
        <v>49</v>
      </c>
      <c r="B516" s="6">
        <v>44</v>
      </c>
      <c r="C516" s="6">
        <v>40</v>
      </c>
    </row>
    <row r="517" spans="1:3" x14ac:dyDescent="0.25">
      <c r="A517" s="6">
        <v>49</v>
      </c>
      <c r="B517" s="6">
        <v>43</v>
      </c>
      <c r="C517" s="6">
        <v>38</v>
      </c>
    </row>
    <row r="518" spans="1:3" x14ac:dyDescent="0.25">
      <c r="A518" s="6">
        <v>49</v>
      </c>
      <c r="B518" s="6">
        <v>42</v>
      </c>
      <c r="C518" s="6">
        <v>36</v>
      </c>
    </row>
    <row r="519" spans="1:3" x14ac:dyDescent="0.25">
      <c r="A519" s="6">
        <v>49</v>
      </c>
      <c r="B519" s="6">
        <v>41</v>
      </c>
      <c r="C519" s="6">
        <v>34</v>
      </c>
    </row>
    <row r="520" spans="1:3" x14ac:dyDescent="0.25">
      <c r="A520" s="6">
        <v>49</v>
      </c>
      <c r="B520" s="6">
        <v>40</v>
      </c>
      <c r="C520" s="6">
        <v>32</v>
      </c>
    </row>
    <row r="521" spans="1:3" x14ac:dyDescent="0.25">
      <c r="A521" s="6">
        <v>49</v>
      </c>
      <c r="B521" s="6">
        <v>39</v>
      </c>
      <c r="C521" s="6">
        <v>30</v>
      </c>
    </row>
    <row r="522" spans="1:3" x14ac:dyDescent="0.25">
      <c r="A522" s="6">
        <v>48</v>
      </c>
      <c r="B522" s="6">
        <v>47</v>
      </c>
      <c r="C522" s="6">
        <v>47</v>
      </c>
    </row>
    <row r="523" spans="1:3" x14ac:dyDescent="0.25">
      <c r="A523" s="6">
        <v>48</v>
      </c>
      <c r="B523" s="6">
        <v>46</v>
      </c>
      <c r="C523" s="6">
        <v>45</v>
      </c>
    </row>
    <row r="524" spans="1:3" x14ac:dyDescent="0.25">
      <c r="A524" s="6">
        <v>48</v>
      </c>
      <c r="B524" s="6">
        <v>45</v>
      </c>
      <c r="C524" s="6">
        <v>43</v>
      </c>
    </row>
    <row r="525" spans="1:3" x14ac:dyDescent="0.25">
      <c r="A525" s="6">
        <v>48</v>
      </c>
      <c r="B525" s="6">
        <v>44</v>
      </c>
      <c r="C525" s="6">
        <v>41</v>
      </c>
    </row>
    <row r="526" spans="1:3" x14ac:dyDescent="0.25">
      <c r="A526" s="6">
        <v>48</v>
      </c>
      <c r="B526" s="6">
        <v>43</v>
      </c>
      <c r="C526" s="6">
        <v>39</v>
      </c>
    </row>
    <row r="527" spans="1:3" x14ac:dyDescent="0.25">
      <c r="A527" s="6">
        <v>48</v>
      </c>
      <c r="B527" s="6">
        <v>42</v>
      </c>
      <c r="C527" s="6">
        <v>37</v>
      </c>
    </row>
    <row r="528" spans="1:3" x14ac:dyDescent="0.25">
      <c r="A528" s="6">
        <v>48</v>
      </c>
      <c r="B528" s="6">
        <v>41</v>
      </c>
      <c r="C528" s="6">
        <v>35</v>
      </c>
    </row>
    <row r="529" spans="1:3" x14ac:dyDescent="0.25">
      <c r="A529" s="6">
        <v>48</v>
      </c>
      <c r="B529" s="6">
        <v>40</v>
      </c>
      <c r="C529" s="6">
        <v>33</v>
      </c>
    </row>
    <row r="530" spans="1:3" x14ac:dyDescent="0.25">
      <c r="A530" s="6">
        <v>48</v>
      </c>
      <c r="B530" s="6">
        <v>39</v>
      </c>
      <c r="C530" s="6">
        <v>31</v>
      </c>
    </row>
    <row r="531" spans="1:3" x14ac:dyDescent="0.25">
      <c r="A531" s="6">
        <v>48</v>
      </c>
      <c r="B531" s="6">
        <v>38</v>
      </c>
      <c r="C531" s="6">
        <v>28</v>
      </c>
    </row>
    <row r="532" spans="1:3" x14ac:dyDescent="0.25">
      <c r="A532" s="6">
        <v>47</v>
      </c>
      <c r="B532" s="6">
        <v>46</v>
      </c>
      <c r="C532" s="6">
        <v>46</v>
      </c>
    </row>
    <row r="533" spans="1:3" x14ac:dyDescent="0.25">
      <c r="A533" s="6">
        <v>47</v>
      </c>
      <c r="B533" s="6">
        <v>45</v>
      </c>
      <c r="C533" s="6">
        <v>44</v>
      </c>
    </row>
    <row r="534" spans="1:3" x14ac:dyDescent="0.25">
      <c r="A534" s="6">
        <v>47</v>
      </c>
      <c r="B534" s="6">
        <v>44</v>
      </c>
      <c r="C534" s="6">
        <v>42</v>
      </c>
    </row>
    <row r="535" spans="1:3" x14ac:dyDescent="0.25">
      <c r="A535" s="6">
        <v>47</v>
      </c>
      <c r="B535" s="6">
        <v>43</v>
      </c>
      <c r="C535" s="6">
        <v>40</v>
      </c>
    </row>
    <row r="536" spans="1:3" x14ac:dyDescent="0.25">
      <c r="A536" s="6">
        <v>47</v>
      </c>
      <c r="B536" s="6">
        <v>42</v>
      </c>
      <c r="C536" s="6">
        <v>38</v>
      </c>
    </row>
    <row r="537" spans="1:3" x14ac:dyDescent="0.25">
      <c r="A537" s="6">
        <v>47</v>
      </c>
      <c r="B537" s="6">
        <v>41</v>
      </c>
      <c r="C537" s="6">
        <v>36</v>
      </c>
    </row>
    <row r="538" spans="1:3" x14ac:dyDescent="0.25">
      <c r="A538" s="6">
        <v>47</v>
      </c>
      <c r="B538" s="6">
        <v>40</v>
      </c>
      <c r="C538" s="6">
        <v>34</v>
      </c>
    </row>
    <row r="539" spans="1:3" x14ac:dyDescent="0.25">
      <c r="A539" s="6">
        <v>47</v>
      </c>
      <c r="B539" s="6">
        <v>39</v>
      </c>
      <c r="C539" s="6">
        <v>31</v>
      </c>
    </row>
    <row r="540" spans="1:3" x14ac:dyDescent="0.25">
      <c r="A540" s="6">
        <v>47</v>
      </c>
      <c r="B540" s="6">
        <v>38</v>
      </c>
      <c r="C540" s="6">
        <v>29</v>
      </c>
    </row>
    <row r="541" spans="1:3" x14ac:dyDescent="0.25">
      <c r="A541" s="6">
        <v>47</v>
      </c>
      <c r="B541" s="6">
        <v>37</v>
      </c>
      <c r="C541" s="6">
        <v>27</v>
      </c>
    </row>
    <row r="542" spans="1:3" x14ac:dyDescent="0.25">
      <c r="A542" s="6">
        <v>46</v>
      </c>
      <c r="B542" s="6">
        <v>45</v>
      </c>
      <c r="C542" s="6">
        <v>45</v>
      </c>
    </row>
    <row r="543" spans="1:3" x14ac:dyDescent="0.25">
      <c r="A543" s="6">
        <v>46</v>
      </c>
      <c r="B543" s="6">
        <v>44</v>
      </c>
      <c r="C543" s="6">
        <v>43</v>
      </c>
    </row>
    <row r="544" spans="1:3" x14ac:dyDescent="0.25">
      <c r="A544" s="6">
        <v>46</v>
      </c>
      <c r="B544" s="6">
        <v>43</v>
      </c>
      <c r="C544" s="6">
        <v>41</v>
      </c>
    </row>
    <row r="545" spans="1:3" x14ac:dyDescent="0.25">
      <c r="A545" s="6">
        <v>46</v>
      </c>
      <c r="B545" s="6">
        <v>42</v>
      </c>
      <c r="C545" s="6">
        <v>39</v>
      </c>
    </row>
    <row r="546" spans="1:3" x14ac:dyDescent="0.25">
      <c r="A546" s="6">
        <v>46</v>
      </c>
      <c r="B546" s="6">
        <v>41</v>
      </c>
      <c r="C546" s="6">
        <v>37</v>
      </c>
    </row>
    <row r="547" spans="1:3" x14ac:dyDescent="0.25">
      <c r="A547" s="6">
        <v>46</v>
      </c>
      <c r="B547" s="6">
        <v>40</v>
      </c>
      <c r="C547" s="6">
        <v>35</v>
      </c>
    </row>
    <row r="548" spans="1:3" x14ac:dyDescent="0.25">
      <c r="A548" s="6">
        <v>46</v>
      </c>
      <c r="B548" s="6">
        <v>39</v>
      </c>
      <c r="C548" s="6">
        <v>32</v>
      </c>
    </row>
    <row r="549" spans="1:3" x14ac:dyDescent="0.25">
      <c r="A549" s="6">
        <v>46</v>
      </c>
      <c r="B549" s="6">
        <v>38</v>
      </c>
      <c r="C549" s="6">
        <v>30</v>
      </c>
    </row>
    <row r="550" spans="1:3" x14ac:dyDescent="0.25">
      <c r="A550" s="6">
        <v>46</v>
      </c>
      <c r="B550" s="6">
        <v>37</v>
      </c>
      <c r="C550" s="6">
        <v>28</v>
      </c>
    </row>
    <row r="551" spans="1:3" x14ac:dyDescent="0.25">
      <c r="A551" s="6">
        <v>46</v>
      </c>
      <c r="B551" s="6">
        <v>36</v>
      </c>
      <c r="C551" s="6">
        <v>26</v>
      </c>
    </row>
    <row r="552" spans="1:3" x14ac:dyDescent="0.25">
      <c r="A552" s="6">
        <v>45</v>
      </c>
      <c r="B552" s="6">
        <v>44</v>
      </c>
      <c r="C552" s="6">
        <v>44</v>
      </c>
    </row>
    <row r="553" spans="1:3" x14ac:dyDescent="0.25">
      <c r="A553" s="6">
        <v>45</v>
      </c>
      <c r="B553" s="6">
        <v>43</v>
      </c>
      <c r="C553" s="6">
        <v>42</v>
      </c>
    </row>
    <row r="554" spans="1:3" x14ac:dyDescent="0.25">
      <c r="A554" s="6">
        <v>45</v>
      </c>
      <c r="B554" s="6">
        <v>42</v>
      </c>
      <c r="C554" s="6">
        <v>40</v>
      </c>
    </row>
    <row r="555" spans="1:3" x14ac:dyDescent="0.25">
      <c r="A555" s="6">
        <v>45</v>
      </c>
      <c r="B555" s="6">
        <v>41</v>
      </c>
      <c r="C555" s="6">
        <v>38</v>
      </c>
    </row>
    <row r="556" spans="1:3" x14ac:dyDescent="0.25">
      <c r="A556" s="6">
        <v>45</v>
      </c>
      <c r="B556" s="6">
        <v>40</v>
      </c>
      <c r="C556" s="6">
        <v>36</v>
      </c>
    </row>
    <row r="557" spans="1:3" x14ac:dyDescent="0.25">
      <c r="A557" s="6">
        <v>45</v>
      </c>
      <c r="B557" s="6">
        <v>39</v>
      </c>
      <c r="C557" s="6">
        <v>33</v>
      </c>
    </row>
    <row r="558" spans="1:3" x14ac:dyDescent="0.25">
      <c r="A558" s="6">
        <v>45</v>
      </c>
      <c r="B558" s="6">
        <v>38</v>
      </c>
      <c r="C558" s="6">
        <v>31</v>
      </c>
    </row>
    <row r="559" spans="1:3" x14ac:dyDescent="0.25">
      <c r="A559" s="6">
        <v>45</v>
      </c>
      <c r="B559" s="6">
        <v>37</v>
      </c>
      <c r="C559" s="6">
        <v>29</v>
      </c>
    </row>
    <row r="560" spans="1:3" x14ac:dyDescent="0.25">
      <c r="A560" s="6">
        <v>45</v>
      </c>
      <c r="B560" s="6">
        <v>36</v>
      </c>
      <c r="C560" s="6">
        <v>27</v>
      </c>
    </row>
    <row r="561" spans="1:3" x14ac:dyDescent="0.25">
      <c r="A561" s="6">
        <v>45</v>
      </c>
      <c r="B561" s="6">
        <v>35</v>
      </c>
      <c r="C561" s="6">
        <v>25</v>
      </c>
    </row>
    <row r="562" spans="1:3" x14ac:dyDescent="0.25">
      <c r="A562" s="6">
        <v>44</v>
      </c>
      <c r="B562" s="6">
        <v>43</v>
      </c>
      <c r="C562" s="6">
        <v>43</v>
      </c>
    </row>
    <row r="563" spans="1:3" x14ac:dyDescent="0.25">
      <c r="A563" s="6">
        <v>44</v>
      </c>
      <c r="B563" s="6">
        <v>42</v>
      </c>
      <c r="C563" s="6">
        <v>41</v>
      </c>
    </row>
    <row r="564" spans="1:3" x14ac:dyDescent="0.25">
      <c r="A564" s="6">
        <v>44</v>
      </c>
      <c r="B564" s="6">
        <v>41</v>
      </c>
      <c r="C564" s="6">
        <v>39</v>
      </c>
    </row>
    <row r="565" spans="1:3" x14ac:dyDescent="0.25">
      <c r="A565" s="6">
        <v>44</v>
      </c>
      <c r="B565" s="6">
        <v>40</v>
      </c>
      <c r="C565" s="6">
        <v>37</v>
      </c>
    </row>
    <row r="566" spans="1:3" x14ac:dyDescent="0.25">
      <c r="A566" s="6">
        <v>44</v>
      </c>
      <c r="B566" s="6">
        <v>39</v>
      </c>
      <c r="C566" s="6">
        <v>35</v>
      </c>
    </row>
    <row r="567" spans="1:3" x14ac:dyDescent="0.25">
      <c r="A567" s="6">
        <v>44</v>
      </c>
      <c r="B567" s="6">
        <v>38</v>
      </c>
      <c r="C567" s="6">
        <v>32</v>
      </c>
    </row>
    <row r="568" spans="1:3" x14ac:dyDescent="0.25">
      <c r="A568" s="6">
        <v>44</v>
      </c>
      <c r="B568" s="6">
        <v>37</v>
      </c>
      <c r="C568" s="6">
        <v>30</v>
      </c>
    </row>
    <row r="569" spans="1:3" x14ac:dyDescent="0.25">
      <c r="A569" s="6">
        <v>44</v>
      </c>
      <c r="B569" s="6">
        <v>36</v>
      </c>
      <c r="C569" s="6">
        <v>28</v>
      </c>
    </row>
    <row r="570" spans="1:3" x14ac:dyDescent="0.25">
      <c r="A570" s="6">
        <v>44</v>
      </c>
      <c r="B570" s="6">
        <v>35</v>
      </c>
      <c r="C570" s="6">
        <v>26</v>
      </c>
    </row>
    <row r="571" spans="1:3" x14ac:dyDescent="0.25">
      <c r="A571" s="6">
        <v>44</v>
      </c>
      <c r="B571" s="6">
        <v>34</v>
      </c>
      <c r="C571" s="6">
        <v>24</v>
      </c>
    </row>
    <row r="572" spans="1:3" x14ac:dyDescent="0.25">
      <c r="A572" s="6">
        <v>43</v>
      </c>
      <c r="B572" s="6">
        <v>42</v>
      </c>
      <c r="C572" s="6">
        <v>42</v>
      </c>
    </row>
    <row r="573" spans="1:3" x14ac:dyDescent="0.25">
      <c r="A573" s="6">
        <v>43</v>
      </c>
      <c r="B573" s="6">
        <v>41</v>
      </c>
      <c r="C573" s="6">
        <v>40</v>
      </c>
    </row>
    <row r="574" spans="1:3" x14ac:dyDescent="0.25">
      <c r="A574" s="6">
        <v>43</v>
      </c>
      <c r="B574" s="6">
        <v>40</v>
      </c>
      <c r="C574" s="6">
        <v>38</v>
      </c>
    </row>
    <row r="575" spans="1:3" x14ac:dyDescent="0.25">
      <c r="A575" s="6">
        <v>43</v>
      </c>
      <c r="B575" s="6">
        <v>39</v>
      </c>
      <c r="C575" s="6">
        <v>36</v>
      </c>
    </row>
    <row r="576" spans="1:3" x14ac:dyDescent="0.25">
      <c r="A576" s="6">
        <v>43</v>
      </c>
      <c r="B576" s="6">
        <v>38</v>
      </c>
      <c r="C576" s="6">
        <v>34</v>
      </c>
    </row>
    <row r="577" spans="1:3" x14ac:dyDescent="0.25">
      <c r="A577" s="6">
        <v>43</v>
      </c>
      <c r="B577" s="6">
        <v>37</v>
      </c>
      <c r="C577" s="6">
        <v>31</v>
      </c>
    </row>
    <row r="578" spans="1:3" x14ac:dyDescent="0.25">
      <c r="A578" s="6">
        <v>43</v>
      </c>
      <c r="B578" s="6">
        <v>36</v>
      </c>
      <c r="C578" s="6">
        <v>29</v>
      </c>
    </row>
    <row r="579" spans="1:3" x14ac:dyDescent="0.25">
      <c r="A579" s="6">
        <v>43</v>
      </c>
      <c r="B579" s="6">
        <v>35</v>
      </c>
      <c r="C579" s="6">
        <v>27</v>
      </c>
    </row>
    <row r="580" spans="1:3" x14ac:dyDescent="0.25">
      <c r="A580" s="6">
        <v>43</v>
      </c>
      <c r="B580" s="6">
        <v>34</v>
      </c>
      <c r="C580" s="6">
        <v>25</v>
      </c>
    </row>
    <row r="581" spans="1:3" x14ac:dyDescent="0.25">
      <c r="A581" s="6">
        <v>43</v>
      </c>
      <c r="B581" s="6">
        <v>33</v>
      </c>
      <c r="C581" s="6">
        <v>22</v>
      </c>
    </row>
    <row r="582" spans="1:3" x14ac:dyDescent="0.25">
      <c r="A582" s="6">
        <v>42</v>
      </c>
      <c r="B582" s="6">
        <v>41</v>
      </c>
      <c r="C582" s="6">
        <v>41</v>
      </c>
    </row>
    <row r="583" spans="1:3" x14ac:dyDescent="0.25">
      <c r="A583" s="6">
        <v>42</v>
      </c>
      <c r="B583" s="6">
        <v>40</v>
      </c>
      <c r="C583" s="6">
        <v>39</v>
      </c>
    </row>
    <row r="584" spans="1:3" x14ac:dyDescent="0.25">
      <c r="A584" s="6">
        <v>42</v>
      </c>
      <c r="B584" s="6">
        <v>39</v>
      </c>
      <c r="C584" s="6">
        <v>37</v>
      </c>
    </row>
    <row r="585" spans="1:3" x14ac:dyDescent="0.25">
      <c r="A585" s="6">
        <v>42</v>
      </c>
      <c r="B585" s="6">
        <v>38</v>
      </c>
      <c r="C585" s="6">
        <v>35</v>
      </c>
    </row>
    <row r="586" spans="1:3" x14ac:dyDescent="0.25">
      <c r="A586" s="6">
        <v>42</v>
      </c>
      <c r="B586" s="6">
        <v>37</v>
      </c>
      <c r="C586" s="6">
        <v>32</v>
      </c>
    </row>
    <row r="587" spans="1:3" x14ac:dyDescent="0.25">
      <c r="A587" s="6">
        <v>42</v>
      </c>
      <c r="B587" s="6">
        <v>36</v>
      </c>
      <c r="C587" s="6">
        <v>30</v>
      </c>
    </row>
    <row r="588" spans="1:3" x14ac:dyDescent="0.25">
      <c r="A588" s="6">
        <v>42</v>
      </c>
      <c r="B588" s="6">
        <v>35</v>
      </c>
      <c r="C588" s="6">
        <v>28</v>
      </c>
    </row>
    <row r="589" spans="1:3" x14ac:dyDescent="0.25">
      <c r="A589" s="6">
        <v>42</v>
      </c>
      <c r="B589" s="6">
        <v>34</v>
      </c>
      <c r="C589" s="6">
        <v>26</v>
      </c>
    </row>
    <row r="590" spans="1:3" x14ac:dyDescent="0.25">
      <c r="A590" s="6">
        <v>42</v>
      </c>
      <c r="B590" s="6">
        <v>33</v>
      </c>
      <c r="C590" s="6">
        <v>23</v>
      </c>
    </row>
    <row r="591" spans="1:3" x14ac:dyDescent="0.25">
      <c r="A591" s="6">
        <v>42</v>
      </c>
      <c r="B591" s="6">
        <v>32</v>
      </c>
      <c r="C591" s="6">
        <v>21</v>
      </c>
    </row>
    <row r="592" spans="1:3" x14ac:dyDescent="0.25">
      <c r="A592" s="6">
        <v>41</v>
      </c>
      <c r="B592" s="6">
        <v>40</v>
      </c>
      <c r="C592" s="6">
        <v>40</v>
      </c>
    </row>
    <row r="593" spans="1:3" x14ac:dyDescent="0.25">
      <c r="A593" s="6">
        <v>41</v>
      </c>
      <c r="B593" s="6">
        <v>39</v>
      </c>
      <c r="C593" s="6">
        <v>38</v>
      </c>
    </row>
    <row r="594" spans="1:3" x14ac:dyDescent="0.25">
      <c r="A594" s="6">
        <v>41</v>
      </c>
      <c r="B594" s="6">
        <v>38</v>
      </c>
      <c r="C594" s="6">
        <v>36</v>
      </c>
    </row>
    <row r="595" spans="1:3" x14ac:dyDescent="0.25">
      <c r="A595" s="6">
        <v>41</v>
      </c>
      <c r="B595" s="6">
        <v>37</v>
      </c>
      <c r="C595" s="6">
        <v>33</v>
      </c>
    </row>
    <row r="596" spans="1:3" x14ac:dyDescent="0.25">
      <c r="A596" s="6">
        <v>41</v>
      </c>
      <c r="B596" s="6">
        <v>36</v>
      </c>
      <c r="C596" s="6">
        <v>31</v>
      </c>
    </row>
    <row r="597" spans="1:3" x14ac:dyDescent="0.25">
      <c r="A597" s="6">
        <v>41</v>
      </c>
      <c r="B597" s="6">
        <v>35</v>
      </c>
      <c r="C597" s="6">
        <v>29</v>
      </c>
    </row>
    <row r="598" spans="1:3" x14ac:dyDescent="0.25">
      <c r="A598" s="6">
        <v>41</v>
      </c>
      <c r="B598" s="6">
        <v>34</v>
      </c>
      <c r="C598" s="6">
        <v>27</v>
      </c>
    </row>
    <row r="599" spans="1:3" x14ac:dyDescent="0.25">
      <c r="A599" s="6">
        <v>41</v>
      </c>
      <c r="B599" s="6">
        <v>33</v>
      </c>
      <c r="C599" s="6">
        <v>24</v>
      </c>
    </row>
    <row r="600" spans="1:3" x14ac:dyDescent="0.25">
      <c r="A600" s="6">
        <v>41</v>
      </c>
      <c r="B600" s="6">
        <v>32</v>
      </c>
      <c r="C600" s="6">
        <v>22</v>
      </c>
    </row>
    <row r="601" spans="1:3" x14ac:dyDescent="0.25">
      <c r="A601" s="6">
        <v>41</v>
      </c>
      <c r="B601" s="6">
        <v>31</v>
      </c>
      <c r="C601" s="6" t="s">
        <v>30</v>
      </c>
    </row>
    <row r="602" spans="1:3" x14ac:dyDescent="0.25">
      <c r="A602" s="6">
        <v>40</v>
      </c>
      <c r="B602" s="6">
        <v>39</v>
      </c>
      <c r="C602" s="6">
        <v>39</v>
      </c>
    </row>
    <row r="603" spans="1:3" x14ac:dyDescent="0.25">
      <c r="A603" s="6">
        <v>40</v>
      </c>
      <c r="B603" s="6">
        <v>38</v>
      </c>
      <c r="C603" s="6">
        <v>37</v>
      </c>
    </row>
    <row r="604" spans="1:3" x14ac:dyDescent="0.25">
      <c r="A604" s="6">
        <v>40</v>
      </c>
      <c r="B604" s="6">
        <v>37</v>
      </c>
      <c r="C604" s="6">
        <v>35</v>
      </c>
    </row>
    <row r="605" spans="1:3" x14ac:dyDescent="0.25">
      <c r="A605" s="6">
        <v>40</v>
      </c>
      <c r="B605" s="6">
        <v>36</v>
      </c>
      <c r="C605" s="6">
        <v>32</v>
      </c>
    </row>
    <row r="606" spans="1:3" x14ac:dyDescent="0.25">
      <c r="A606" s="6">
        <v>40</v>
      </c>
      <c r="B606" s="6">
        <v>35</v>
      </c>
      <c r="C606" s="6">
        <v>30</v>
      </c>
    </row>
    <row r="607" spans="1:3" x14ac:dyDescent="0.25">
      <c r="A607" s="6">
        <v>40</v>
      </c>
      <c r="B607" s="6">
        <v>34</v>
      </c>
      <c r="C607" s="6">
        <v>28</v>
      </c>
    </row>
    <row r="608" spans="1:3" x14ac:dyDescent="0.25">
      <c r="A608" s="6">
        <v>40</v>
      </c>
      <c r="B608" s="6">
        <v>33</v>
      </c>
      <c r="C608" s="6">
        <v>25</v>
      </c>
    </row>
    <row r="609" spans="1:3" x14ac:dyDescent="0.25">
      <c r="A609" s="6">
        <v>40</v>
      </c>
      <c r="B609" s="6">
        <v>32</v>
      </c>
      <c r="C609" s="6">
        <v>23</v>
      </c>
    </row>
    <row r="610" spans="1:3" x14ac:dyDescent="0.25">
      <c r="A610" s="6">
        <v>40</v>
      </c>
      <c r="B610" s="6">
        <v>31</v>
      </c>
      <c r="C610" s="6" t="s">
        <v>30</v>
      </c>
    </row>
    <row r="611" spans="1:3" x14ac:dyDescent="0.25">
      <c r="A611" s="6">
        <v>40</v>
      </c>
      <c r="B611" s="6">
        <v>30</v>
      </c>
      <c r="C611" s="6" t="s">
        <v>30</v>
      </c>
    </row>
    <row r="612" spans="1:3" x14ac:dyDescent="0.25">
      <c r="A612" s="6">
        <v>39</v>
      </c>
      <c r="B612" s="6">
        <v>38</v>
      </c>
      <c r="C612" s="6">
        <v>38</v>
      </c>
    </row>
    <row r="613" spans="1:3" x14ac:dyDescent="0.25">
      <c r="A613" s="6">
        <v>39</v>
      </c>
      <c r="B613" s="6">
        <v>37</v>
      </c>
      <c r="C613" s="6">
        <v>36</v>
      </c>
    </row>
    <row r="614" spans="1:3" x14ac:dyDescent="0.25">
      <c r="A614" s="6">
        <v>39</v>
      </c>
      <c r="B614" s="6">
        <v>36</v>
      </c>
      <c r="C614" s="6">
        <v>34</v>
      </c>
    </row>
    <row r="615" spans="1:3" x14ac:dyDescent="0.25">
      <c r="A615" s="6">
        <v>39</v>
      </c>
      <c r="B615" s="6">
        <v>35</v>
      </c>
      <c r="C615" s="6">
        <v>33</v>
      </c>
    </row>
    <row r="616" spans="1:3" x14ac:dyDescent="0.25">
      <c r="A616" s="6">
        <v>39</v>
      </c>
      <c r="B616" s="6">
        <v>34</v>
      </c>
      <c r="C616" s="6">
        <v>29</v>
      </c>
    </row>
    <row r="617" spans="1:3" x14ac:dyDescent="0.25">
      <c r="A617" s="6">
        <v>39</v>
      </c>
      <c r="B617" s="6">
        <v>33</v>
      </c>
      <c r="C617" s="6">
        <v>27</v>
      </c>
    </row>
    <row r="618" spans="1:3" x14ac:dyDescent="0.25">
      <c r="A618" s="6">
        <v>39</v>
      </c>
      <c r="B618" s="6">
        <v>32</v>
      </c>
      <c r="C618" s="6">
        <v>24</v>
      </c>
    </row>
    <row r="619" spans="1:3" x14ac:dyDescent="0.25">
      <c r="A619" s="6">
        <v>39</v>
      </c>
      <c r="B619" s="6" t="s">
        <v>30</v>
      </c>
      <c r="C619" s="6" t="s">
        <v>30</v>
      </c>
    </row>
    <row r="620" spans="1:3" x14ac:dyDescent="0.25">
      <c r="A620" s="6">
        <v>39</v>
      </c>
      <c r="B620" s="6" t="s">
        <v>30</v>
      </c>
      <c r="C620" s="6" t="s">
        <v>30</v>
      </c>
    </row>
    <row r="621" spans="1:3" x14ac:dyDescent="0.25">
      <c r="A621" s="6">
        <v>39</v>
      </c>
      <c r="B621" s="6" t="s">
        <v>30</v>
      </c>
      <c r="C621" s="6" t="s">
        <v>30</v>
      </c>
    </row>
    <row r="622" spans="1:3" x14ac:dyDescent="0.25">
      <c r="A622" s="6">
        <v>38</v>
      </c>
      <c r="B622" s="6">
        <v>37</v>
      </c>
      <c r="C622" s="6">
        <v>37</v>
      </c>
    </row>
    <row r="623" spans="1:3" x14ac:dyDescent="0.25">
      <c r="A623" s="6">
        <v>38</v>
      </c>
      <c r="B623" s="6">
        <v>36</v>
      </c>
      <c r="C623" s="6">
        <v>35</v>
      </c>
    </row>
    <row r="624" spans="1:3" x14ac:dyDescent="0.25">
      <c r="A624" s="6">
        <v>38</v>
      </c>
      <c r="B624" s="6">
        <v>35</v>
      </c>
      <c r="C624" s="6">
        <v>32</v>
      </c>
    </row>
    <row r="625" spans="1:3" x14ac:dyDescent="0.25">
      <c r="A625" s="6">
        <v>38</v>
      </c>
      <c r="B625" s="6">
        <v>34</v>
      </c>
      <c r="C625" s="6">
        <v>30</v>
      </c>
    </row>
    <row r="626" spans="1:3" x14ac:dyDescent="0.25">
      <c r="A626" s="6">
        <v>38</v>
      </c>
      <c r="B626" s="6">
        <v>33</v>
      </c>
      <c r="C626" s="6">
        <v>28</v>
      </c>
    </row>
    <row r="627" spans="1:3" x14ac:dyDescent="0.25">
      <c r="A627" s="6">
        <v>38</v>
      </c>
      <c r="B627" s="6">
        <v>32</v>
      </c>
      <c r="C627" s="6">
        <v>25</v>
      </c>
    </row>
    <row r="628" spans="1:3" x14ac:dyDescent="0.25">
      <c r="A628" s="6">
        <v>38</v>
      </c>
      <c r="B628" s="6">
        <v>31</v>
      </c>
      <c r="C628" s="6" t="s">
        <v>30</v>
      </c>
    </row>
    <row r="629" spans="1:3" x14ac:dyDescent="0.25">
      <c r="A629" s="6">
        <v>38</v>
      </c>
      <c r="B629" s="6">
        <v>30</v>
      </c>
      <c r="C629" s="6" t="s">
        <v>30</v>
      </c>
    </row>
    <row r="630" spans="1:3" x14ac:dyDescent="0.25">
      <c r="A630" s="6">
        <v>38</v>
      </c>
      <c r="B630" s="6">
        <v>29</v>
      </c>
      <c r="C630" s="6" t="s">
        <v>30</v>
      </c>
    </row>
    <row r="631" spans="1:3" x14ac:dyDescent="0.25">
      <c r="A631" s="6">
        <v>38</v>
      </c>
      <c r="B631" s="6">
        <v>28</v>
      </c>
      <c r="C631" s="6" t="s">
        <v>30</v>
      </c>
    </row>
    <row r="632" spans="1:3" x14ac:dyDescent="0.25">
      <c r="A632" s="6">
        <v>37</v>
      </c>
      <c r="B632" s="6">
        <v>36</v>
      </c>
      <c r="C632" s="6">
        <v>36</v>
      </c>
    </row>
    <row r="633" spans="1:3" x14ac:dyDescent="0.25">
      <c r="A633" s="6">
        <v>37</v>
      </c>
      <c r="B633" s="6">
        <v>35</v>
      </c>
      <c r="C633" s="6">
        <v>34</v>
      </c>
    </row>
    <row r="634" spans="1:3" x14ac:dyDescent="0.25">
      <c r="A634" s="6">
        <v>37</v>
      </c>
      <c r="B634" s="6">
        <v>34</v>
      </c>
      <c r="C634" s="6">
        <v>31</v>
      </c>
    </row>
    <row r="635" spans="1:3" x14ac:dyDescent="0.25">
      <c r="A635" s="6">
        <v>37</v>
      </c>
      <c r="B635" s="6">
        <v>33</v>
      </c>
      <c r="C635" s="6">
        <v>29</v>
      </c>
    </row>
    <row r="636" spans="1:3" x14ac:dyDescent="0.25">
      <c r="A636" s="6">
        <v>37</v>
      </c>
      <c r="B636" s="6">
        <v>32</v>
      </c>
      <c r="C636" s="6">
        <v>26</v>
      </c>
    </row>
    <row r="637" spans="1:3" x14ac:dyDescent="0.25">
      <c r="A637" s="6">
        <v>37</v>
      </c>
      <c r="B637" s="6">
        <v>31</v>
      </c>
      <c r="C637" s="6" t="s">
        <v>30</v>
      </c>
    </row>
    <row r="638" spans="1:3" x14ac:dyDescent="0.25">
      <c r="A638" s="6">
        <v>37</v>
      </c>
      <c r="B638" s="6">
        <v>30</v>
      </c>
      <c r="C638" s="6" t="s">
        <v>30</v>
      </c>
    </row>
    <row r="639" spans="1:3" x14ac:dyDescent="0.25">
      <c r="A639" s="6">
        <v>36</v>
      </c>
      <c r="B639" s="6">
        <v>35</v>
      </c>
      <c r="C639" s="6">
        <v>35</v>
      </c>
    </row>
    <row r="640" spans="1:3" x14ac:dyDescent="0.25">
      <c r="A640" s="6">
        <v>36</v>
      </c>
      <c r="B640" s="6">
        <v>34</v>
      </c>
      <c r="C640" s="6">
        <v>32</v>
      </c>
    </row>
    <row r="641" spans="1:3" x14ac:dyDescent="0.25">
      <c r="A641" s="6">
        <v>36</v>
      </c>
      <c r="B641" s="6">
        <v>33</v>
      </c>
      <c r="C641" s="6">
        <v>30</v>
      </c>
    </row>
    <row r="642" spans="1:3" x14ac:dyDescent="0.25">
      <c r="A642" s="6">
        <v>36</v>
      </c>
      <c r="B642" s="6">
        <v>32</v>
      </c>
      <c r="C642" s="6">
        <v>27</v>
      </c>
    </row>
    <row r="643" spans="1:3" x14ac:dyDescent="0.25">
      <c r="A643" s="6">
        <v>35</v>
      </c>
      <c r="B643" s="6">
        <v>34</v>
      </c>
      <c r="C643" s="6">
        <v>34</v>
      </c>
    </row>
    <row r="644" spans="1:3" x14ac:dyDescent="0.25">
      <c r="A644" s="6">
        <v>35</v>
      </c>
      <c r="B644" s="6">
        <v>33</v>
      </c>
      <c r="C644" s="6">
        <v>31</v>
      </c>
    </row>
    <row r="645" spans="1:3" x14ac:dyDescent="0.25">
      <c r="A645" s="6">
        <v>35</v>
      </c>
      <c r="B645" s="6">
        <v>32</v>
      </c>
      <c r="C645" s="6">
        <v>29</v>
      </c>
    </row>
    <row r="646" spans="1:3" x14ac:dyDescent="0.25">
      <c r="A646" s="6">
        <v>34</v>
      </c>
      <c r="B646" s="6">
        <v>33</v>
      </c>
      <c r="C646" s="6">
        <v>33</v>
      </c>
    </row>
    <row r="647" spans="1:3" x14ac:dyDescent="0.25">
      <c r="A647" s="6">
        <v>34</v>
      </c>
      <c r="B647" s="6">
        <v>32</v>
      </c>
      <c r="C647" s="6">
        <v>30</v>
      </c>
    </row>
    <row r="648" spans="1:3" x14ac:dyDescent="0.25">
      <c r="A648" s="6">
        <v>33</v>
      </c>
      <c r="B648" s="6">
        <v>32</v>
      </c>
      <c r="C648" s="6">
        <v>30</v>
      </c>
    </row>
  </sheetData>
  <sheetProtection algorithmName="SHA-512" hashValue="gnVOL4vhoFTYOiyxC7QYeIVFpCp6AGgPjIOVeH5eN3jm0wsVnCuAblJPsj5EWSt7FdkBQjb1sYEA7LKBckGWzg==" saltValue="jmpYBJfshu2WeS6Kuz9khQ==" spinCount="100000" sheet="1" objects="1" scenarios="1"/>
  <autoFilter ref="A1:C383" xr:uid="{F01572FE-361D-495F-9E3E-F9A0565518B0}">
    <filterColumn colId="2">
      <filters>
        <filter val="40,0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9D66-9D1E-443A-82AE-75C17569C026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</sheetData>
  <sheetProtection algorithmName="SHA-512" hashValue="Er5bE9WHKZZ/jCFxuUWRjkWFH6TTuwz9D021CF2drOkKDTw8g1hG7A9iO1k+7OfmVretJIRrHDiGOaDJf84mSA==" saltValue="X2/6Mx7azZkBi6nNlPwnnQ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6355-C996-48F2-9D6E-A09499891816}">
  <dimension ref="A1:A140"/>
  <sheetViews>
    <sheetView workbookViewId="0">
      <selection activeCell="A67" sqref="A1:A1048576"/>
    </sheetView>
  </sheetViews>
  <sheetFormatPr defaultRowHeight="15" x14ac:dyDescent="0.25"/>
  <sheetData>
    <row r="1" spans="1:1" x14ac:dyDescent="0.25">
      <c r="A1" t="s">
        <v>97</v>
      </c>
    </row>
    <row r="2" spans="1:1" x14ac:dyDescent="0.25">
      <c r="A2" t="s">
        <v>73</v>
      </c>
    </row>
    <row r="3" spans="1:1" x14ac:dyDescent="0.25">
      <c r="A3" t="s">
        <v>98</v>
      </c>
    </row>
    <row r="4" spans="1:1" x14ac:dyDescent="0.25">
      <c r="A4" t="s">
        <v>55</v>
      </c>
    </row>
    <row r="5" spans="1:1" x14ac:dyDescent="0.25">
      <c r="A5" t="s">
        <v>99</v>
      </c>
    </row>
    <row r="6" spans="1:1" x14ac:dyDescent="0.25">
      <c r="A6" t="s">
        <v>100</v>
      </c>
    </row>
    <row r="7" spans="1:1" x14ac:dyDescent="0.25">
      <c r="A7" t="s">
        <v>101</v>
      </c>
    </row>
    <row r="8" spans="1:1" x14ac:dyDescent="0.25">
      <c r="A8" t="s">
        <v>64</v>
      </c>
    </row>
    <row r="9" spans="1:1" x14ac:dyDescent="0.25">
      <c r="A9" t="s">
        <v>102</v>
      </c>
    </row>
    <row r="10" spans="1:1" x14ac:dyDescent="0.25">
      <c r="A10" t="s">
        <v>62</v>
      </c>
    </row>
    <row r="11" spans="1:1" x14ac:dyDescent="0.25">
      <c r="A11" t="s">
        <v>66</v>
      </c>
    </row>
    <row r="12" spans="1:1" x14ac:dyDescent="0.25">
      <c r="A12" t="s">
        <v>91</v>
      </c>
    </row>
    <row r="13" spans="1:1" x14ac:dyDescent="0.25">
      <c r="A13" t="s">
        <v>72</v>
      </c>
    </row>
    <row r="14" spans="1:1" x14ac:dyDescent="0.25">
      <c r="A14" t="s">
        <v>52</v>
      </c>
    </row>
    <row r="15" spans="1:1" x14ac:dyDescent="0.25">
      <c r="A15" t="s">
        <v>77</v>
      </c>
    </row>
    <row r="16" spans="1:1" x14ac:dyDescent="0.25">
      <c r="A16" t="s">
        <v>53</v>
      </c>
    </row>
    <row r="17" spans="1:1" x14ac:dyDescent="0.25">
      <c r="A17" t="s">
        <v>103</v>
      </c>
    </row>
    <row r="18" spans="1:1" x14ac:dyDescent="0.25">
      <c r="A18" t="s">
        <v>104</v>
      </c>
    </row>
    <row r="19" spans="1:1" x14ac:dyDescent="0.25">
      <c r="A19" t="s">
        <v>48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83</v>
      </c>
    </row>
    <row r="25" spans="1:1" x14ac:dyDescent="0.25">
      <c r="A25" t="s">
        <v>109</v>
      </c>
    </row>
    <row r="26" spans="1:1" x14ac:dyDescent="0.25">
      <c r="A26" t="s">
        <v>88</v>
      </c>
    </row>
    <row r="27" spans="1:1" x14ac:dyDescent="0.25">
      <c r="A27" t="s">
        <v>39</v>
      </c>
    </row>
    <row r="28" spans="1:1" x14ac:dyDescent="0.25">
      <c r="A28" t="s">
        <v>80</v>
      </c>
    </row>
    <row r="29" spans="1:1" x14ac:dyDescent="0.25">
      <c r="A29" t="s">
        <v>59</v>
      </c>
    </row>
    <row r="30" spans="1:1" x14ac:dyDescent="0.25">
      <c r="A30" t="s">
        <v>60</v>
      </c>
    </row>
    <row r="31" spans="1:1" x14ac:dyDescent="0.25">
      <c r="A31" t="s">
        <v>37</v>
      </c>
    </row>
    <row r="32" spans="1:1" x14ac:dyDescent="0.25">
      <c r="A32" t="s">
        <v>110</v>
      </c>
    </row>
    <row r="33" spans="1:1" x14ac:dyDescent="0.25">
      <c r="A33" t="s">
        <v>111</v>
      </c>
    </row>
    <row r="34" spans="1:1" x14ac:dyDescent="0.25">
      <c r="A34" t="s">
        <v>44</v>
      </c>
    </row>
    <row r="35" spans="1:1" x14ac:dyDescent="0.25">
      <c r="A35" t="s">
        <v>112</v>
      </c>
    </row>
    <row r="36" spans="1:1" x14ac:dyDescent="0.25">
      <c r="A36" t="s">
        <v>86</v>
      </c>
    </row>
    <row r="37" spans="1:1" x14ac:dyDescent="0.25">
      <c r="A37" t="s">
        <v>113</v>
      </c>
    </row>
    <row r="38" spans="1:1" x14ac:dyDescent="0.25">
      <c r="A38" t="s">
        <v>114</v>
      </c>
    </row>
    <row r="39" spans="1:1" x14ac:dyDescent="0.25">
      <c r="A39" t="s">
        <v>115</v>
      </c>
    </row>
    <row r="40" spans="1:1" x14ac:dyDescent="0.25">
      <c r="A40" t="s">
        <v>116</v>
      </c>
    </row>
    <row r="41" spans="1:1" x14ac:dyDescent="0.25">
      <c r="A41" t="s">
        <v>117</v>
      </c>
    </row>
    <row r="42" spans="1:1" x14ac:dyDescent="0.25">
      <c r="A42" t="s">
        <v>118</v>
      </c>
    </row>
    <row r="43" spans="1:1" x14ac:dyDescent="0.25">
      <c r="A43" t="s">
        <v>58</v>
      </c>
    </row>
    <row r="44" spans="1:1" x14ac:dyDescent="0.25">
      <c r="A44" t="s">
        <v>119</v>
      </c>
    </row>
    <row r="45" spans="1:1" x14ac:dyDescent="0.25">
      <c r="A45" t="s">
        <v>68</v>
      </c>
    </row>
    <row r="46" spans="1:1" x14ac:dyDescent="0.25">
      <c r="A46" t="s">
        <v>120</v>
      </c>
    </row>
    <row r="47" spans="1:1" x14ac:dyDescent="0.25">
      <c r="A47" t="s">
        <v>69</v>
      </c>
    </row>
    <row r="48" spans="1:1" x14ac:dyDescent="0.25">
      <c r="A48" t="s">
        <v>121</v>
      </c>
    </row>
    <row r="49" spans="1:1" x14ac:dyDescent="0.25">
      <c r="A49" t="s">
        <v>123</v>
      </c>
    </row>
    <row r="50" spans="1:1" x14ac:dyDescent="0.25">
      <c r="A50" t="s">
        <v>31</v>
      </c>
    </row>
    <row r="51" spans="1:1" x14ac:dyDescent="0.25">
      <c r="A51" t="s">
        <v>124</v>
      </c>
    </row>
    <row r="52" spans="1:1" x14ac:dyDescent="0.25">
      <c r="A52" t="s">
        <v>122</v>
      </c>
    </row>
    <row r="53" spans="1:1" x14ac:dyDescent="0.25">
      <c r="A53" t="s">
        <v>78</v>
      </c>
    </row>
    <row r="54" spans="1:1" x14ac:dyDescent="0.25">
      <c r="A54" t="s">
        <v>78</v>
      </c>
    </row>
    <row r="55" spans="1:1" x14ac:dyDescent="0.25">
      <c r="A55" t="s">
        <v>51</v>
      </c>
    </row>
    <row r="56" spans="1:1" x14ac:dyDescent="0.25">
      <c r="A56" t="s">
        <v>125</v>
      </c>
    </row>
    <row r="57" spans="1:1" x14ac:dyDescent="0.25">
      <c r="A57" t="s">
        <v>49</v>
      </c>
    </row>
    <row r="58" spans="1:1" x14ac:dyDescent="0.25">
      <c r="A58" t="s">
        <v>38</v>
      </c>
    </row>
    <row r="59" spans="1:1" x14ac:dyDescent="0.25">
      <c r="A59" t="s">
        <v>126</v>
      </c>
    </row>
    <row r="60" spans="1:1" x14ac:dyDescent="0.25">
      <c r="A60" t="s">
        <v>33</v>
      </c>
    </row>
    <row r="61" spans="1:1" x14ac:dyDescent="0.25">
      <c r="A61" t="s">
        <v>90</v>
      </c>
    </row>
    <row r="62" spans="1:1" x14ac:dyDescent="0.25">
      <c r="A62" t="s">
        <v>127</v>
      </c>
    </row>
    <row r="63" spans="1:1" x14ac:dyDescent="0.25">
      <c r="A63" t="s">
        <v>128</v>
      </c>
    </row>
    <row r="64" spans="1:1" x14ac:dyDescent="0.25">
      <c r="A64" t="s">
        <v>129</v>
      </c>
    </row>
    <row r="65" spans="1:1" x14ac:dyDescent="0.25">
      <c r="A65" t="s">
        <v>130</v>
      </c>
    </row>
    <row r="66" spans="1:1" x14ac:dyDescent="0.25">
      <c r="A66" t="s">
        <v>29</v>
      </c>
    </row>
    <row r="67" spans="1:1" x14ac:dyDescent="0.25">
      <c r="A67" t="s">
        <v>95</v>
      </c>
    </row>
    <row r="68" spans="1:1" x14ac:dyDescent="0.25">
      <c r="A68" t="s">
        <v>47</v>
      </c>
    </row>
    <row r="69" spans="1:1" x14ac:dyDescent="0.25">
      <c r="A69" t="s">
        <v>96</v>
      </c>
    </row>
    <row r="70" spans="1:1" x14ac:dyDescent="0.25">
      <c r="A70" t="s">
        <v>41</v>
      </c>
    </row>
    <row r="71" spans="1:1" x14ac:dyDescent="0.25">
      <c r="A71" t="s">
        <v>40</v>
      </c>
    </row>
    <row r="72" spans="1:1" x14ac:dyDescent="0.25">
      <c r="A72" t="s">
        <v>42</v>
      </c>
    </row>
    <row r="73" spans="1:1" x14ac:dyDescent="0.25">
      <c r="A73" t="s">
        <v>46</v>
      </c>
    </row>
    <row r="74" spans="1:1" x14ac:dyDescent="0.25">
      <c r="A74" t="s">
        <v>94</v>
      </c>
    </row>
    <row r="75" spans="1:1" x14ac:dyDescent="0.25">
      <c r="A75" t="s">
        <v>45</v>
      </c>
    </row>
    <row r="76" spans="1:1" x14ac:dyDescent="0.25">
      <c r="A76" t="s">
        <v>34</v>
      </c>
    </row>
    <row r="77" spans="1:1" x14ac:dyDescent="0.25">
      <c r="A77" t="s">
        <v>70</v>
      </c>
    </row>
    <row r="78" spans="1:1" x14ac:dyDescent="0.25">
      <c r="A78" t="s">
        <v>67</v>
      </c>
    </row>
    <row r="79" spans="1:1" x14ac:dyDescent="0.25">
      <c r="A79" t="s">
        <v>131</v>
      </c>
    </row>
    <row r="80" spans="1:1" x14ac:dyDescent="0.25">
      <c r="A80" t="s">
        <v>50</v>
      </c>
    </row>
    <row r="81" spans="1:1" x14ac:dyDescent="0.25">
      <c r="A81" t="s">
        <v>50</v>
      </c>
    </row>
    <row r="82" spans="1:1" x14ac:dyDescent="0.25">
      <c r="A82" t="s">
        <v>132</v>
      </c>
    </row>
    <row r="83" spans="1:1" x14ac:dyDescent="0.25">
      <c r="A83" t="s">
        <v>133</v>
      </c>
    </row>
    <row r="84" spans="1:1" x14ac:dyDescent="0.25">
      <c r="A84" t="s">
        <v>134</v>
      </c>
    </row>
    <row r="85" spans="1:1" x14ac:dyDescent="0.25">
      <c r="A85" t="s">
        <v>135</v>
      </c>
    </row>
    <row r="86" spans="1:1" x14ac:dyDescent="0.25">
      <c r="A86" t="s">
        <v>136</v>
      </c>
    </row>
    <row r="87" spans="1:1" x14ac:dyDescent="0.25">
      <c r="A87" t="s">
        <v>137</v>
      </c>
    </row>
    <row r="88" spans="1:1" x14ac:dyDescent="0.25">
      <c r="A88" t="s">
        <v>138</v>
      </c>
    </row>
    <row r="89" spans="1:1" x14ac:dyDescent="0.25">
      <c r="A89" t="s">
        <v>43</v>
      </c>
    </row>
    <row r="90" spans="1:1" x14ac:dyDescent="0.25">
      <c r="A90" t="s">
        <v>165</v>
      </c>
    </row>
    <row r="91" spans="1:1" x14ac:dyDescent="0.25">
      <c r="A91" t="s">
        <v>139</v>
      </c>
    </row>
    <row r="92" spans="1:1" x14ac:dyDescent="0.25">
      <c r="A92" t="s">
        <v>140</v>
      </c>
    </row>
    <row r="93" spans="1:1" x14ac:dyDescent="0.25">
      <c r="A93" t="s">
        <v>141</v>
      </c>
    </row>
    <row r="94" spans="1:1" x14ac:dyDescent="0.25">
      <c r="A94" t="s">
        <v>85</v>
      </c>
    </row>
    <row r="95" spans="1:1" x14ac:dyDescent="0.25">
      <c r="A95" t="s">
        <v>92</v>
      </c>
    </row>
    <row r="96" spans="1:1" x14ac:dyDescent="0.25">
      <c r="A96" t="s">
        <v>143</v>
      </c>
    </row>
    <row r="97" spans="1:1" x14ac:dyDescent="0.25">
      <c r="A97" t="s">
        <v>36</v>
      </c>
    </row>
    <row r="98" spans="1:1" x14ac:dyDescent="0.25">
      <c r="A98" t="s">
        <v>36</v>
      </c>
    </row>
    <row r="99" spans="1:1" x14ac:dyDescent="0.25">
      <c r="A99" t="s">
        <v>144</v>
      </c>
    </row>
    <row r="100" spans="1:1" x14ac:dyDescent="0.25">
      <c r="A100" t="s">
        <v>87</v>
      </c>
    </row>
    <row r="101" spans="1:1" x14ac:dyDescent="0.25">
      <c r="A101" t="s">
        <v>145</v>
      </c>
    </row>
    <row r="102" spans="1:1" x14ac:dyDescent="0.25">
      <c r="A102" t="s">
        <v>32</v>
      </c>
    </row>
    <row r="103" spans="1:1" x14ac:dyDescent="0.25">
      <c r="A103" t="s">
        <v>146</v>
      </c>
    </row>
    <row r="104" spans="1:1" x14ac:dyDescent="0.25">
      <c r="A104" t="s">
        <v>79</v>
      </c>
    </row>
    <row r="105" spans="1:1" x14ac:dyDescent="0.25">
      <c r="A105" t="s">
        <v>147</v>
      </c>
    </row>
    <row r="106" spans="1:1" x14ac:dyDescent="0.25">
      <c r="A106" t="s">
        <v>56</v>
      </c>
    </row>
    <row r="107" spans="1:1" x14ac:dyDescent="0.25">
      <c r="A107" t="s">
        <v>75</v>
      </c>
    </row>
    <row r="108" spans="1:1" x14ac:dyDescent="0.25">
      <c r="A108" t="s">
        <v>148</v>
      </c>
    </row>
    <row r="109" spans="1:1" x14ac:dyDescent="0.25">
      <c r="A109" t="s">
        <v>81</v>
      </c>
    </row>
    <row r="110" spans="1:1" x14ac:dyDescent="0.25">
      <c r="A110" t="s">
        <v>149</v>
      </c>
    </row>
    <row r="111" spans="1:1" x14ac:dyDescent="0.25">
      <c r="A111" t="s">
        <v>57</v>
      </c>
    </row>
    <row r="112" spans="1:1" x14ac:dyDescent="0.25">
      <c r="A112" t="s">
        <v>93</v>
      </c>
    </row>
    <row r="113" spans="1:1" x14ac:dyDescent="0.25">
      <c r="A113" t="s">
        <v>76</v>
      </c>
    </row>
    <row r="114" spans="1:1" x14ac:dyDescent="0.25">
      <c r="A114" t="s">
        <v>54</v>
      </c>
    </row>
    <row r="115" spans="1:1" x14ac:dyDescent="0.25">
      <c r="A115" t="s">
        <v>150</v>
      </c>
    </row>
    <row r="116" spans="1:1" x14ac:dyDescent="0.25">
      <c r="A116" t="s">
        <v>142</v>
      </c>
    </row>
    <row r="117" spans="1:1" x14ac:dyDescent="0.25">
      <c r="A117" t="s">
        <v>151</v>
      </c>
    </row>
    <row r="118" spans="1:1" x14ac:dyDescent="0.25">
      <c r="A118" t="s">
        <v>61</v>
      </c>
    </row>
    <row r="119" spans="1:1" x14ac:dyDescent="0.25">
      <c r="A119" t="s">
        <v>61</v>
      </c>
    </row>
    <row r="120" spans="1:1" x14ac:dyDescent="0.25">
      <c r="A120" t="s">
        <v>82</v>
      </c>
    </row>
    <row r="121" spans="1:1" x14ac:dyDescent="0.25">
      <c r="A121" t="s">
        <v>152</v>
      </c>
    </row>
    <row r="122" spans="1:1" x14ac:dyDescent="0.25">
      <c r="A122" t="s">
        <v>153</v>
      </c>
    </row>
    <row r="123" spans="1:1" x14ac:dyDescent="0.25">
      <c r="A123" t="s">
        <v>74</v>
      </c>
    </row>
    <row r="124" spans="1:1" x14ac:dyDescent="0.25">
      <c r="A124" t="s">
        <v>154</v>
      </c>
    </row>
    <row r="125" spans="1:1" x14ac:dyDescent="0.25">
      <c r="A125" t="s">
        <v>155</v>
      </c>
    </row>
    <row r="126" spans="1:1" x14ac:dyDescent="0.25">
      <c r="A126" t="s">
        <v>156</v>
      </c>
    </row>
    <row r="127" spans="1:1" x14ac:dyDescent="0.25">
      <c r="A127" t="s">
        <v>157</v>
      </c>
    </row>
    <row r="128" spans="1:1" x14ac:dyDescent="0.25">
      <c r="A128" t="s">
        <v>159</v>
      </c>
    </row>
    <row r="129" spans="1:1" x14ac:dyDescent="0.25">
      <c r="A129" t="s">
        <v>71</v>
      </c>
    </row>
    <row r="130" spans="1:1" x14ac:dyDescent="0.25">
      <c r="A130" t="s">
        <v>89</v>
      </c>
    </row>
    <row r="131" spans="1:1" x14ac:dyDescent="0.25">
      <c r="A131" t="s">
        <v>158</v>
      </c>
    </row>
    <row r="132" spans="1:1" x14ac:dyDescent="0.25">
      <c r="A132" t="s">
        <v>160</v>
      </c>
    </row>
    <row r="133" spans="1:1" x14ac:dyDescent="0.25">
      <c r="A133" t="s">
        <v>84</v>
      </c>
    </row>
    <row r="134" spans="1:1" x14ac:dyDescent="0.25">
      <c r="A134" t="s">
        <v>161</v>
      </c>
    </row>
    <row r="135" spans="1:1" x14ac:dyDescent="0.25">
      <c r="A135" t="s">
        <v>162</v>
      </c>
    </row>
    <row r="136" spans="1:1" x14ac:dyDescent="0.25">
      <c r="A136" t="s">
        <v>35</v>
      </c>
    </row>
    <row r="137" spans="1:1" x14ac:dyDescent="0.25">
      <c r="A137" t="s">
        <v>163</v>
      </c>
    </row>
    <row r="138" spans="1:1" x14ac:dyDescent="0.25">
      <c r="A138" t="s">
        <v>164</v>
      </c>
    </row>
    <row r="139" spans="1:1" x14ac:dyDescent="0.25">
      <c r="A139" t="s">
        <v>63</v>
      </c>
    </row>
    <row r="140" spans="1:1" x14ac:dyDescent="0.25">
      <c r="A140" t="s">
        <v>65</v>
      </c>
    </row>
  </sheetData>
  <sheetProtection algorithmName="SHA-512" hashValue="vBVBxM4cak2mMny/mkvn/dpECta2UgPFKryI9CHroLXvZEa4eRSPdtJUlqHrz1VQim2YMaoo30Dd6DHxPCc5kw==" saltValue="i3BcdidNRJ113oRR5EJZqA==" spinCount="100000" sheet="1" objects="1" scenarios="1"/>
  <sortState xmlns:xlrd2="http://schemas.microsoft.com/office/spreadsheetml/2017/richdata2" ref="A1:A140">
    <sortCondition ref="A67:A14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388599-6BD2-4AB0-873A-6550E4883D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Input</vt:lpstr>
      <vt:lpstr>Consulta1</vt:lpstr>
      <vt:lpstr>TabelaIII</vt:lpstr>
      <vt:lpstr>TabelaIIIbis</vt:lpstr>
      <vt:lpstr>TabelaIV</vt:lpstr>
      <vt:lpstr>Classe do Paiol</vt:lpstr>
      <vt:lpstr>Locais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Balula</dc:creator>
  <cp:lastModifiedBy>Jorge Balula</cp:lastModifiedBy>
  <dcterms:created xsi:type="dcterms:W3CDTF">2025-11-27T18:30:32Z</dcterms:created>
  <dcterms:modified xsi:type="dcterms:W3CDTF">2025-12-03T12:19:16Z</dcterms:modified>
</cp:coreProperties>
</file>